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lrexseb/jrexseb-AI/jrexseb-personal/Projects/Equity Research/SPOT Short/"/>
    </mc:Choice>
  </mc:AlternateContent>
  <xr:revisionPtr revIDLastSave="0" documentId="13_ncr:1_{294E047C-02DF-844F-B020-B13273060CFD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2" l="1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E79" i="2"/>
</calcChain>
</file>

<file path=xl/sharedStrings.xml><?xml version="1.0" encoding="utf-8"?>
<sst xmlns="http://schemas.openxmlformats.org/spreadsheetml/2006/main" count="1181" uniqueCount="528">
  <si>
    <t>Spotify Technology SA- Company Financial (Multiple Periods)</t>
  </si>
  <si>
    <t>SPOT US Equity    Periodicity:Q    Currency:EUR    Estimate Source:BST    Actual Source:Bloomberg</t>
  </si>
  <si>
    <t>In Millions of EUR</t>
  </si>
  <si>
    <t>3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</si>
  <si>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</si>
  <si>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</si>
  <si>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</si>
  <si>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</si>
  <si>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</si>
  <si>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</si>
  <si>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</si>
  <si>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</si>
  <si>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</si>
  <si>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</si>
  <si>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</si>
  <si>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Premium</t>
  </si>
  <si>
    <t xml:space="preserve">    Revenue</t>
  </si>
  <si>
    <t>SALES_REV_TURN</t>
  </si>
  <si>
    <t>IS010</t>
  </si>
  <si>
    <t>SEG0000454645 Segment</t>
  </si>
  <si>
    <t xml:space="preserve">    Cost of Revenue</t>
  </si>
  <si>
    <t>IS_COGS_TO_FE_AND_PP_AND_G</t>
  </si>
  <si>
    <t>IS021</t>
  </si>
  <si>
    <t xml:space="preserve">    Gross Profit</t>
  </si>
  <si>
    <t>CB_IS_GROSS_PROFIT</t>
  </si>
  <si>
    <t>IC399</t>
  </si>
  <si>
    <t xml:space="preserve">    ARPU</t>
  </si>
  <si>
    <t>AVERAGE_REVENUE_PER_USER</t>
  </si>
  <si>
    <t>M6043</t>
  </si>
  <si>
    <t xml:space="preserve">  Ad-Supported</t>
  </si>
  <si>
    <t>SEG0000454644 Segment</t>
  </si>
  <si>
    <t xml:space="preserve">  Monthly Active Users (MAUs)</t>
  </si>
  <si>
    <t>MONTHLY_ACTIVE_USERS</t>
  </si>
  <si>
    <t>M4640</t>
  </si>
  <si>
    <t xml:space="preserve">    Premium Subscribers</t>
  </si>
  <si>
    <t xml:space="preserve">    Ad-Supported Users</t>
  </si>
  <si>
    <t xml:space="preserve">  Adjusted Operating Income</t>
  </si>
  <si>
    <t>IS_COMPARABLE_EBIT</t>
  </si>
  <si>
    <t>IM132</t>
  </si>
  <si>
    <t xml:space="preserve">    Operating Margin</t>
  </si>
  <si>
    <t>OPER_MARGIN</t>
  </si>
  <si>
    <t>RR026</t>
  </si>
  <si>
    <t xml:space="preserve">  Adjusted EBITDA</t>
  </si>
  <si>
    <t>IS_COMPARABLE_EBITDA</t>
  </si>
  <si>
    <t>IM131</t>
  </si>
  <si>
    <t xml:space="preserve">  Adjusted Net Income</t>
  </si>
  <si>
    <t>IS_COMP_NET_INCOME_ADJUST_OLD</t>
  </si>
  <si>
    <t>IS903</t>
  </si>
  <si>
    <t xml:space="preserve">  Capital Expenditures</t>
  </si>
  <si>
    <t>HEADLINE_CAPEX</t>
  </si>
  <si>
    <t>F1705</t>
  </si>
  <si>
    <t xml:space="preserve">  Free Cash Flow</t>
  </si>
  <si>
    <t>HEADLINE_FCF</t>
  </si>
  <si>
    <t>F1709</t>
  </si>
  <si>
    <t xml:space="preserve">  Gross Margin (%)</t>
  </si>
  <si>
    <t>IS_COMP_GROSS_MARGIN_PERCENTAGE</t>
  </si>
  <si>
    <t>IM092</t>
  </si>
  <si>
    <t xml:space="preserve">  Company Operating Metrics</t>
  </si>
  <si>
    <t xml:space="preserve">  Company-Level Industry Statistics</t>
  </si>
  <si>
    <t xml:space="preserve">  Number of Employees</t>
  </si>
  <si>
    <t>BS_NUMBER_EMPLOYEES</t>
  </si>
  <si>
    <t>BM383</t>
  </si>
  <si>
    <t xml:space="preserve">  New Customer Additions</t>
  </si>
  <si>
    <t>NEW_CUSTOMERS</t>
  </si>
  <si>
    <t>M4410</t>
  </si>
  <si>
    <t xml:space="preserve">  Total Content Hours</t>
  </si>
  <si>
    <t>CONTENT_STREAMING_HOURS</t>
  </si>
  <si>
    <t>M5562</t>
  </si>
  <si>
    <t xml:space="preserve">  Monthly Premium Churn Rate (%)</t>
  </si>
  <si>
    <t>TOTAL_MONTHLY_CHURN_RATE</t>
  </si>
  <si>
    <t>FS601</t>
  </si>
  <si>
    <t xml:space="preserve">  % of Recurring Revenue</t>
  </si>
  <si>
    <t>CB_IS_RECUR_REV</t>
  </si>
  <si>
    <t>IC934</t>
  </si>
  <si>
    <t xml:space="preserve">  Premium Subscribers</t>
  </si>
  <si>
    <t>MONTHLY_PAYING_USERS</t>
  </si>
  <si>
    <t>M5897</t>
  </si>
  <si>
    <t xml:space="preserve">    QoQ Number of Net Adds Change</t>
  </si>
  <si>
    <t>INTERNET_DATA_SUBSCRIBER_ADDS</t>
  </si>
  <si>
    <t>FS615</t>
  </si>
  <si>
    <t xml:space="preserve">    Europe</t>
  </si>
  <si>
    <t>SEG0000340043 Segment</t>
  </si>
  <si>
    <t xml:space="preserve">      As % of Total Premium Subscribers</t>
  </si>
  <si>
    <t>NUMBER_CUSTOMERS_SEG_SHARE_PCT</t>
  </si>
  <si>
    <t>M5624</t>
  </si>
  <si>
    <t xml:space="preserve">    North America</t>
  </si>
  <si>
    <t>SEG0000340046 Segment</t>
  </si>
  <si>
    <t xml:space="preserve">    Latin America</t>
  </si>
  <si>
    <t>SEG0000340044 Segment</t>
  </si>
  <si>
    <t xml:space="preserve">    Rest Of World</t>
  </si>
  <si>
    <t>SEG0000340047 Segment</t>
  </si>
  <si>
    <t xml:space="preserve">  Monthly Active Users</t>
  </si>
  <si>
    <t xml:space="preserve">    Monthly Active User Growth %</t>
  </si>
  <si>
    <t>MONTHLY_ACTIVE_USER_GROWTH</t>
  </si>
  <si>
    <t>M5896</t>
  </si>
  <si>
    <t xml:space="preserve">    Premium</t>
  </si>
  <si>
    <t xml:space="preserve">      QoQ Net Additions</t>
  </si>
  <si>
    <t>NUM_SUBSCRIBERS_NET_ADD_COVID_19_IMP</t>
  </si>
  <si>
    <t>M7005</t>
  </si>
  <si>
    <t xml:space="preserve">        QoQ Number of Net Adds Change</t>
  </si>
  <si>
    <t xml:space="preserve">    Other Countries</t>
  </si>
  <si>
    <t xml:space="preserve">  Avg. Revenue per User</t>
  </si>
  <si>
    <t xml:space="preserve">  Number Of Subscribers (BOP)</t>
  </si>
  <si>
    <t>NUM_OF_SUBSCRIB_BEGIN_PERD</t>
  </si>
  <si>
    <t>M6975</t>
  </si>
  <si>
    <t xml:space="preserve">    Ad-Supported</t>
  </si>
  <si>
    <t xml:space="preserve">  Monthly Active Users Growth (%)</t>
  </si>
  <si>
    <t>MONTHLY_ACTIVE_USERS_SEG_SHARE_PCT</t>
  </si>
  <si>
    <t>M7087</t>
  </si>
  <si>
    <t xml:space="preserve">  Business Breakdown</t>
  </si>
  <si>
    <t xml:space="preserve">      As % of Total Revenue</t>
  </si>
  <si>
    <t>IS_PERCENTAGE_OF_REVENUE</t>
  </si>
  <si>
    <t>IC214</t>
  </si>
  <si>
    <t xml:space="preserve">    Monthly Premium ARPU</t>
  </si>
  <si>
    <t xml:space="preserve">      Gross Margin (%)</t>
  </si>
  <si>
    <t>CB_IS_GROSS_MARGIN</t>
  </si>
  <si>
    <t>IC230</t>
  </si>
  <si>
    <t xml:space="preserve">  Ad-Supported MAUs</t>
  </si>
  <si>
    <t xml:space="preserve">  Regional Breakdown</t>
  </si>
  <si>
    <t xml:space="preserve">    United States</t>
  </si>
  <si>
    <t>SEG0000340051 Segment</t>
  </si>
  <si>
    <t xml:space="preserve">    United Kingdom</t>
  </si>
  <si>
    <t>SEG0000340050 Segment</t>
  </si>
  <si>
    <t xml:space="preserve">    Luxembourg</t>
  </si>
  <si>
    <t>SEG0000340045 Segment</t>
  </si>
  <si>
    <t xml:space="preserve">  Income Statement</t>
  </si>
  <si>
    <t xml:space="preserve">  Total Revenue</t>
  </si>
  <si>
    <t xml:space="preserve">    FX Impact on Revenue Growth (%)</t>
  </si>
  <si>
    <t>IS_SALES_CHANGE_CURRENCIES_PCT</t>
  </si>
  <si>
    <t>IC056</t>
  </si>
  <si>
    <t xml:space="preserve">  Cost of Revenue</t>
  </si>
  <si>
    <t xml:space="preserve">    As % of Revenue</t>
  </si>
  <si>
    <t>COGS_TO_NET_SALES</t>
  </si>
  <si>
    <t>RR279</t>
  </si>
  <si>
    <t xml:space="preserve">    Royalties Expenses</t>
  </si>
  <si>
    <t>CB_IS_ROYALTIES_EXP</t>
  </si>
  <si>
    <t>IC331</t>
  </si>
  <si>
    <t xml:space="preserve">    Stock-based Compensation</t>
  </si>
  <si>
    <t>IS_SBC_ATTRIB_TO_COGS_PRETX</t>
  </si>
  <si>
    <t>IM496</t>
  </si>
  <si>
    <t xml:space="preserve">  Gross Profit</t>
  </si>
  <si>
    <t xml:space="preserve">    Gross Margin (%)</t>
  </si>
  <si>
    <t xml:space="preserve">  Total Operating Expenses</t>
  </si>
  <si>
    <t>IS_OPERATING_EXPN</t>
  </si>
  <si>
    <t>IS032</t>
  </si>
  <si>
    <t xml:space="preserve">      As % of Revenue</t>
  </si>
  <si>
    <t>OPERATING_EXPENSES_TO_NET_SALES</t>
  </si>
  <si>
    <t>RR280</t>
  </si>
  <si>
    <t xml:space="preserve">    Research &amp; Development</t>
  </si>
  <si>
    <t>IS_OPEX_R_AND_D_GAAP</t>
  </si>
  <si>
    <t>IM441</t>
  </si>
  <si>
    <t>RD_EXPEND_TO_NET_SALES</t>
  </si>
  <si>
    <t>RR295</t>
  </si>
  <si>
    <t xml:space="preserve">    Sales &amp; Marketing</t>
  </si>
  <si>
    <t>CB_IS_S_AND_M_EXPENSE</t>
  </si>
  <si>
    <t>IM736</t>
  </si>
  <si>
    <t xml:space="preserve">      Per Gross Subscriber Addition</t>
  </si>
  <si>
    <t>GROSS_SUBSCRIBERS_ADDITIONS</t>
  </si>
  <si>
    <t>SI027</t>
  </si>
  <si>
    <t xml:space="preserve">    General &amp; Administrative</t>
  </si>
  <si>
    <t>CB_IS_GENL_AND_ADMIN_EXPN</t>
  </si>
  <si>
    <t>IM737</t>
  </si>
  <si>
    <t xml:space="preserve">  Operating Income</t>
  </si>
  <si>
    <t xml:space="preserve">    Operating Margin (%)</t>
  </si>
  <si>
    <t xml:space="preserve">  Depreciation &amp; Amortization</t>
  </si>
  <si>
    <t>CF_DEPR_AMORT</t>
  </si>
  <si>
    <t>CF011</t>
  </si>
  <si>
    <t>D_AND_A_TO_SALES</t>
  </si>
  <si>
    <t>RX877</t>
  </si>
  <si>
    <t xml:space="preserve">    Depreciation</t>
  </si>
  <si>
    <t>DEPR_EXP_TO_NET_SALES</t>
  </si>
  <si>
    <t>RR294</t>
  </si>
  <si>
    <t xml:space="preserve">  EBITDA</t>
  </si>
  <si>
    <t xml:space="preserve">    EBITDA Margin (%)</t>
  </si>
  <si>
    <t>EBITDA_TO_REVENUE</t>
  </si>
  <si>
    <t>RX225</t>
  </si>
  <si>
    <t xml:space="preserve">  Interest Expense / (Income), Net</t>
  </si>
  <si>
    <t>IS_NON_OPERATING_INC_LOSS_GAAP</t>
  </si>
  <si>
    <t>IM437</t>
  </si>
  <si>
    <t xml:space="preserve">    Interest Expense on Lease Liabilities</t>
  </si>
  <si>
    <t>IS_INT_EXPN_OP_AND_FIN_LEA_LIABS</t>
  </si>
  <si>
    <t>IC958</t>
  </si>
  <si>
    <t xml:space="preserve">    Interest Income</t>
  </si>
  <si>
    <t>IS_INT_INC</t>
  </si>
  <si>
    <t>IS011</t>
  </si>
  <si>
    <t xml:space="preserve">  Pre-Tax Income</t>
  </si>
  <si>
    <t>IS_COMP_PTP_EX_STK_BASED_COMP</t>
  </si>
  <si>
    <t>IM383</t>
  </si>
  <si>
    <t xml:space="preserve">    Pre-Tax Margin (%)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</si>
  <si>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</si>
  <si>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</si>
  <si>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</si>
  <si>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</si>
  <si>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</si>
  <si>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</si>
  <si>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</si>
  <si>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</si>
  <si>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</si>
  <si>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</si>
  <si>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</si>
  <si>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</si>
  <si>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</si>
  <si>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</si>
  <si>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Shares Outstanding (EOP)</t>
  </si>
  <si>
    <t>BS_SH_OUT</t>
  </si>
  <si>
    <t>BS081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</si>
  <si>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</si>
  <si>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</si>
  <si>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</si>
  <si>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</si>
  <si>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</si>
  <si>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</si>
  <si>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</si>
  <si>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</si>
  <si>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</si>
  <si>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>IS_COMP_EPS_GAAP</t>
  </si>
  <si>
    <t>IS901</t>
  </si>
  <si>
    <t xml:space="preserve">  Adjusted Results</t>
  </si>
  <si>
    <t>IS_R_AND_D_GAAP</t>
  </si>
  <si>
    <t>IM432</t>
  </si>
  <si>
    <t xml:space="preserve">    Marketing &amp; Sales</t>
  </si>
  <si>
    <t>IS_SELLING_EXPENSES</t>
  </si>
  <si>
    <t>IM326</t>
  </si>
  <si>
    <t xml:space="preserve">    EBITDA</t>
  </si>
  <si>
    <t xml:space="preserve">      EBITDA Margin (%)</t>
  </si>
  <si>
    <t>CB_IS_ADJ_EBITDA_MARGIN</t>
  </si>
  <si>
    <t>IM728</t>
  </si>
  <si>
    <t xml:space="preserve">    Net Income</t>
  </si>
  <si>
    <t xml:space="preserve">    Operating Income</t>
  </si>
  <si>
    <t>IS_EBIT_AS_REPORTED</t>
  </si>
  <si>
    <t>IM013</t>
  </si>
  <si>
    <t xml:space="preserve">    Diluted EPS</t>
  </si>
  <si>
    <t xml:space="preserve">  Company Specific Adjustments</t>
  </si>
  <si>
    <t xml:space="preserve">    Incremental Gross Margin (%)</t>
  </si>
  <si>
    <t>INCREMENTAL_GROSS_MARGIN</t>
  </si>
  <si>
    <t>F0809</t>
  </si>
  <si>
    <t xml:space="preserve">    Incremental EBIT Margin (%)</t>
  </si>
  <si>
    <t>INCREMENTAL_EBIT_MARGIN</t>
  </si>
  <si>
    <t>F0851</t>
  </si>
  <si>
    <t xml:space="preserve">    Total Operating Expenses (Income) Ratio</t>
  </si>
  <si>
    <t>TOTAL_OPERATING_EXPENSES_RATIO</t>
  </si>
  <si>
    <t>F1095</t>
  </si>
  <si>
    <t xml:space="preserve">    Stock-Based Compensation</t>
  </si>
  <si>
    <t>IS_SBC_NON_GAAP</t>
  </si>
  <si>
    <t>IS927</t>
  </si>
  <si>
    <t xml:space="preserve">    EBITDA (excl. SBC)</t>
  </si>
  <si>
    <t>EBITDA_BEFORE_STK_BASED_COMP</t>
  </si>
  <si>
    <t>F0605</t>
  </si>
  <si>
    <t xml:space="preserve">    Amortization of Intangibles</t>
  </si>
  <si>
    <t>IS_AMORT_OF_TOT_INTANG_PRETX</t>
  </si>
  <si>
    <t>IM379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</si>
  <si>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</si>
  <si>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</si>
  <si>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</si>
  <si>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</si>
  <si>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</si>
  <si>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Accounts Receivable</t>
  </si>
  <si>
    <t>BS_TRADE_RECEIVABLES_AND_OTHERS</t>
  </si>
  <si>
    <t>BM451</t>
  </si>
  <si>
    <t xml:space="preserve">      Income Tax Receivable</t>
  </si>
  <si>
    <t>BS_INCOME_TAX_RECEIVABLE_ST</t>
  </si>
  <si>
    <t>BM315</t>
  </si>
  <si>
    <t xml:space="preserve">      Cash &amp; Investments</t>
  </si>
  <si>
    <t>BS_CASH_CASH_EQUIVALENTS_AND_STI</t>
  </si>
  <si>
    <t>BM289</t>
  </si>
  <si>
    <t xml:space="preserve">        Short-Term Investments</t>
  </si>
  <si>
    <t>BS_MKT_SEC_OTHER_ST_INVEST</t>
  </si>
  <si>
    <t>BS011</t>
  </si>
  <si>
    <t xml:space="preserve">        Cash &amp; Cash Equivalents</t>
  </si>
  <si>
    <t>BS_CASH_NEAR_CASH_ITEM</t>
  </si>
  <si>
    <t>BS010</t>
  </si>
  <si>
    <t xml:space="preserve">      Other Current Assets</t>
  </si>
  <si>
    <t>CB_BS_OTHER_CURRENT_ASSETS</t>
  </si>
  <si>
    <t>BM783</t>
  </si>
  <si>
    <t xml:space="preserve">    Non-Current Assets</t>
  </si>
  <si>
    <t>BS_TOTAL_NON_CURRENT_ASSETS</t>
  </si>
  <si>
    <t>BM321</t>
  </si>
  <si>
    <t xml:space="preserve">      Lease Right-of-Use Assets</t>
  </si>
  <si>
    <t>BS_OPER_LEA_RT_OF_USE_ASSETS</t>
  </si>
  <si>
    <t>BM659</t>
  </si>
  <si>
    <t xml:space="preserve">      Property, Plant &amp; Equipment</t>
  </si>
  <si>
    <t>CB_BS_PP_AND_E_NET</t>
  </si>
  <si>
    <t>BM788</t>
  </si>
  <si>
    <t xml:space="preserve">      Total Intangible Assets</t>
  </si>
  <si>
    <t>BS_DISCLOSED_INTANGIBLES</t>
  </si>
  <si>
    <t>BS138</t>
  </si>
  <si>
    <t xml:space="preserve">        Goodwill</t>
  </si>
  <si>
    <t>BS_GOODWILL</t>
  </si>
  <si>
    <t>BS161</t>
  </si>
  <si>
    <t xml:space="preserve">        Other Intangible Assets</t>
  </si>
  <si>
    <t>BS_OTHER_INTANGIBLE_ASSETS</t>
  </si>
  <si>
    <t>BM282</t>
  </si>
  <si>
    <t xml:space="preserve">      Long-Term Investments</t>
  </si>
  <si>
    <t>BS_LONG_TERM_INVESTMENTS</t>
  </si>
  <si>
    <t>BM281</t>
  </si>
  <si>
    <t xml:space="preserve">      Restricted Cash &amp; Other Non-Current Assets</t>
  </si>
  <si>
    <t>BS_OTHER_NONCURRENT_ASSETS</t>
  </si>
  <si>
    <t>BM283</t>
  </si>
  <si>
    <t xml:space="preserve">      Deferred Tax Assets</t>
  </si>
  <si>
    <t>BS_DEFERRED_TAX_ASSETS_LT</t>
  </si>
  <si>
    <t>BM079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</si>
  <si>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</si>
  <si>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</si>
  <si>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</si>
  <si>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</si>
  <si>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</si>
  <si>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</si>
  <si>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</si>
  <si>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Trade &amp; Other Payables</t>
  </si>
  <si>
    <t>BS_TRADE_PAYABLES_AND_OTHERS</t>
  </si>
  <si>
    <t>BM560</t>
  </si>
  <si>
    <t xml:space="preserve">      Income Tax Payables</t>
  </si>
  <si>
    <t>BS_TAXES_PAYABLE</t>
  </si>
  <si>
    <t>BM919</t>
  </si>
  <si>
    <t xml:space="preserve">      Deferred Revenue</t>
  </si>
  <si>
    <t>ST_DEFERRED_REVENUE</t>
  </si>
  <si>
    <t>BS515</t>
  </si>
  <si>
    <t xml:space="preserve">      Accrued Expenses &amp; Others</t>
  </si>
  <si>
    <t>BS_ACCRUD_EXPNSS_AND_OTHR</t>
  </si>
  <si>
    <t>BL255</t>
  </si>
  <si>
    <t xml:space="preserve">      Short-Term Provisions</t>
  </si>
  <si>
    <t>BS_OTHER_CUR_LIAB</t>
  </si>
  <si>
    <t>BS126</t>
  </si>
  <si>
    <t xml:space="preserve">      Derivative Liabilities</t>
  </si>
  <si>
    <t>CB_BS_DERIVATIVE_LIAB_ST</t>
  </si>
  <si>
    <t>BL582</t>
  </si>
  <si>
    <t xml:space="preserve">    Non-Current Liabilities</t>
  </si>
  <si>
    <t>BS_ADJ_TOTAL_LT_LIABILITIES</t>
  </si>
  <si>
    <t>BS814</t>
  </si>
  <si>
    <t xml:space="preserve">      Long-Term Borrowings</t>
  </si>
  <si>
    <t>BS_LONG_TERM_BORROWINGS</t>
  </si>
  <si>
    <t>BM286</t>
  </si>
  <si>
    <t>BS_LONG_TERM_RESTRCTD_CASH_INVT</t>
  </si>
  <si>
    <t>BL295</t>
  </si>
  <si>
    <t xml:space="preserve">      Lease Liabilities</t>
  </si>
  <si>
    <t>BS_LT_CPTL_LEA_AND_OP_LEA_LIABS</t>
  </si>
  <si>
    <t>BL137</t>
  </si>
  <si>
    <t>BS_ACCRUED_LIABILITIES</t>
  </si>
  <si>
    <t>BS644</t>
  </si>
  <si>
    <t xml:space="preserve">      Long-Term Provisions</t>
  </si>
  <si>
    <t>BS_OTHER_NONCURRENT_LIABILITIES</t>
  </si>
  <si>
    <t>BM287</t>
  </si>
  <si>
    <t xml:space="preserve">      Deferred Tax Liabilities</t>
  </si>
  <si>
    <t>BS_DEFERRED_TAX_LIABILITIES_LT</t>
  </si>
  <si>
    <t>BM080</t>
  </si>
  <si>
    <t xml:space="preserve">      Others</t>
  </si>
  <si>
    <t>BS_OTHER_LT_LIABILITIES</t>
  </si>
  <si>
    <t>BS052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</si>
  <si>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</si>
  <si>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</si>
  <si>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</si>
  <si>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</si>
  <si>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</si>
  <si>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</si>
  <si>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Other Paid in Capital</t>
  </si>
  <si>
    <t>BS_SH_CAP_AND_APIC</t>
  </si>
  <si>
    <t>BS064</t>
  </si>
  <si>
    <t xml:space="preserve">      Treasury Stock</t>
  </si>
  <si>
    <t>BS_AMT_OF_TSY_STOCK</t>
  </si>
  <si>
    <t>BS092</t>
  </si>
  <si>
    <t xml:space="preserve">      Other Equity</t>
  </si>
  <si>
    <t>BS_CAPITAL_RESERVE</t>
  </si>
  <si>
    <t>BS143</t>
  </si>
  <si>
    <t xml:space="preserve">      Retained Earnings</t>
  </si>
  <si>
    <t>BS_PURE_RETAINED_EARNINGS</t>
  </si>
  <si>
    <t>BS190</t>
  </si>
  <si>
    <t xml:space="preserve">    Total Liabilities &amp; Shareholders' Equity</t>
  </si>
  <si>
    <t xml:space="preserve">  Special Company Reference Items</t>
  </si>
  <si>
    <t xml:space="preserve">    Number of Shares Repurchased</t>
  </si>
  <si>
    <t>BS_SHARES_REPURCHASED_NUMBER</t>
  </si>
  <si>
    <t>BM002</t>
  </si>
  <si>
    <t xml:space="preserve">    Return on Equity  (%)</t>
  </si>
  <si>
    <t>HEADLINE_ROE</t>
  </si>
  <si>
    <t>F1704</t>
  </si>
  <si>
    <t xml:space="preserve">    Return on Assets (%)</t>
  </si>
  <si>
    <t>RETURN_ON_ASSET</t>
  </si>
  <si>
    <t>RR028</t>
  </si>
  <si>
    <t xml:space="preserve">    Current Ratio</t>
  </si>
  <si>
    <t>CUR_RATIO</t>
  </si>
  <si>
    <t>RR053</t>
  </si>
  <si>
    <t xml:space="preserve">    Book Value per Share</t>
  </si>
  <si>
    <t>BOOK_VAL_PER_SH</t>
  </si>
  <si>
    <t>RR020</t>
  </si>
  <si>
    <t xml:space="preserve">  Condensed Cash Flow Statement</t>
  </si>
  <si>
    <t xml:space="preserve">  Cash from Operating Activities</t>
  </si>
  <si>
    <t>HEADLINE_DEPR_EXPN</t>
  </si>
  <si>
    <t>F1702</t>
  </si>
  <si>
    <t xml:space="preserve">    Amortization</t>
  </si>
  <si>
    <t>HEADLINE_AMORT_EXPN</t>
  </si>
  <si>
    <t>F1710</t>
  </si>
  <si>
    <t>IS_EXPENSE_STOCK_BASED_COMP</t>
  </si>
  <si>
    <t>IS323</t>
  </si>
  <si>
    <t xml:space="preserve">      Research &amp; Development</t>
  </si>
  <si>
    <t>IS_SBC_ATTRIBUTABLE_TO_R_AND_D_PRETX</t>
  </si>
  <si>
    <t>IM494</t>
  </si>
  <si>
    <t xml:space="preserve">      Sales &amp; Marketing</t>
  </si>
  <si>
    <t>IS_SBC_ATT_TO_S_AND_M_PRETX</t>
  </si>
  <si>
    <t>IM498</t>
  </si>
  <si>
    <t xml:space="preserve">      General &amp; Administrative</t>
  </si>
  <si>
    <t>IS_SBC_ATT_TO_GENL_AND_ADMIN_PRETX</t>
  </si>
  <si>
    <t>IM497</t>
  </si>
  <si>
    <t xml:space="preserve">    Finance Income</t>
  </si>
  <si>
    <t>IS_FINANCIAL_INCOME</t>
  </si>
  <si>
    <t>IM795</t>
  </si>
  <si>
    <t xml:space="preserve">    Finance Costs</t>
  </si>
  <si>
    <t>IS_FINANCE_COST</t>
  </si>
  <si>
    <t>IM544</t>
  </si>
  <si>
    <t xml:space="preserve">    Interest Paid</t>
  </si>
  <si>
    <t>CF_CSH_PD_INT_REL_OP_LEA_INC</t>
  </si>
  <si>
    <t>CF418</t>
  </si>
  <si>
    <t xml:space="preserve">    Other</t>
  </si>
  <si>
    <t>CB_CF_OTHR_NONCSH_ITEMS</t>
  </si>
  <si>
    <t>CF442</t>
  </si>
  <si>
    <t xml:space="preserve">    Change in Non-Cash Working Capital</t>
  </si>
  <si>
    <t>CF_CHNG_NON_CASH_WORK_CAP</t>
  </si>
  <si>
    <t>CF013</t>
  </si>
  <si>
    <t xml:space="preserve">      Trade Receivables</t>
  </si>
  <si>
    <t>CB_CF_CHANGE_IN_TRADE_REC_AND_OTHER</t>
  </si>
  <si>
    <t>CF472</t>
  </si>
  <si>
    <t xml:space="preserve">      Trade &amp; Other Liabilities</t>
  </si>
  <si>
    <t>CB_CF_CHANGE_IN_TRADE_PAYBLE_AND_OTHER</t>
  </si>
  <si>
    <t>CF473</t>
  </si>
  <si>
    <t>CF_CHG_IN_DEFER_UNEARND_REV_ST</t>
  </si>
  <si>
    <t>CF434</t>
  </si>
  <si>
    <t xml:space="preserve">      Increase (Decrease) in Provisions</t>
  </si>
  <si>
    <t>CF_CHANGE_IN_OTHR_LIBLTS</t>
  </si>
  <si>
    <t>CF437</t>
  </si>
  <si>
    <t xml:space="preserve">      Interest Received</t>
  </si>
  <si>
    <t>CF_INTEREST_RECEIVED</t>
  </si>
  <si>
    <t>CF123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</si>
  <si>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</si>
  <si>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</si>
  <si>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</si>
  <si>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</si>
  <si>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</si>
  <si>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CAP_EXPEND_TO_SALES</t>
  </si>
  <si>
    <t>RR166</t>
  </si>
  <si>
    <t xml:space="preserve">    Sales (Purchases) of Short-Term Investments</t>
  </si>
  <si>
    <t>CF_NET_CHG_ST_INVEST</t>
  </si>
  <si>
    <t>CF068</t>
  </si>
  <si>
    <t xml:space="preserve">    Short-Term Investments</t>
  </si>
  <si>
    <t>CB_CF_PURCHASES_OF_ST_INV</t>
  </si>
  <si>
    <t>CF481</t>
  </si>
  <si>
    <t xml:space="preserve">    Sales &amp; Maturities of Short Term Investments</t>
  </si>
  <si>
    <t>CB_CF_PROCEEDS_FROM_ST_INV</t>
  </si>
  <si>
    <t>CF479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</si>
  <si>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</si>
  <si>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</si>
  <si>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</si>
  <si>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</si>
  <si>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</si>
  <si>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</si>
  <si>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Change in Debt</t>
  </si>
  <si>
    <t>CF_PROCEEDS_REPAYMNTS_BORROWINGS</t>
  </si>
  <si>
    <t>CF287</t>
  </si>
  <si>
    <t xml:space="preserve">    Proceeds from Long-Term Debt &amp; Capital Lease</t>
  </si>
  <si>
    <t>CF_PROC_LT_DEBT_AND_CAPITAL_LEASE</t>
  </si>
  <si>
    <t>CF324</t>
  </si>
  <si>
    <t xml:space="preserve">    Proceeds from Exercise of Share Options</t>
  </si>
  <si>
    <t>CF_INCR_CAP_STOCK</t>
  </si>
  <si>
    <t>CF030</t>
  </si>
  <si>
    <t xml:space="preserve">    Decrease in Capital Stocks</t>
  </si>
  <si>
    <t>CF_DECR_CAP_STOCK</t>
  </si>
  <si>
    <t>CF031</t>
  </si>
  <si>
    <t xml:space="preserve">    Proceeds from Exercise of Warrants</t>
  </si>
  <si>
    <t>CB_CF_PROCEEDS_EXERCISE_ISSUANCE_WARRANTS</t>
  </si>
  <si>
    <t>CF673</t>
  </si>
  <si>
    <t xml:space="preserve">    Other Financing Activities </t>
  </si>
  <si>
    <t>CF_OTHER_FINANCING_ACT_EXCL_FX</t>
  </si>
  <si>
    <t>CF290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</si>
  <si>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</si>
  <si>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</si>
  <si>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</si>
  <si>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</si>
  <si>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</si>
  <si>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</si>
  <si>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Net Change in Cash &amp; Cash Equivalents</t>
  </si>
  <si>
    <t>CB_CF_NET_CHANGE_IN_CASH</t>
  </si>
  <si>
    <t>CF475</t>
  </si>
  <si>
    <t xml:space="preserve">    Net Changes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</si>
  <si>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</si>
  <si>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</si>
  <si>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</si>
  <si>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</si>
  <si>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</si>
  <si>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</si>
  <si>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 xml:space="preserve">    </t>
  </si>
  <si>
    <t xml:space="preserve">    Cash Paid for Taxes</t>
  </si>
  <si>
    <t>CF_CASH_PAID_FOR_TAX</t>
  </si>
  <si>
    <t>CF073</t>
  </si>
  <si>
    <t xml:space="preserve">    Free Cash Flow</t>
  </si>
  <si>
    <t xml:space="preserve">      Free Cash Flow Per Share</t>
  </si>
  <si>
    <t>FCF_PER_DIL_SHR</t>
  </si>
  <si>
    <t>RR228</t>
  </si>
  <si>
    <t xml:space="preserve">      Free Cash Flow Margin (%)</t>
  </si>
  <si>
    <t>FREE_CASH_FLOW_MARGIN</t>
  </si>
  <si>
    <t>RX588</t>
  </si>
  <si>
    <t xml:space="preserve">    Cash Flow per Share</t>
  </si>
  <si>
    <t>CASH_FLOW_PER_SH</t>
  </si>
  <si>
    <t>RR022</t>
  </si>
  <si>
    <t>Source: Bloomberg</t>
  </si>
  <si>
    <t>2022 Q3 (Rep)</t>
  </si>
  <si>
    <t>2022 Q4 (Rep)</t>
  </si>
  <si>
    <t>2023 Q1 (Rep)</t>
  </si>
  <si>
    <t>2023 Q2 (Rep)</t>
  </si>
  <si>
    <t>2023 Q3 (Rep)</t>
  </si>
  <si>
    <t>2023 Q4 (Rep)</t>
  </si>
  <si>
    <t>2024 Q1 (Rep)</t>
  </si>
  <si>
    <t>2024 Q2 (Rep)</t>
  </si>
  <si>
    <t>2024 Q3 (Rep)</t>
  </si>
  <si>
    <t>2024 Q4 (Rep)</t>
  </si>
  <si>
    <t>2025 Q1 (Rep)</t>
  </si>
  <si>
    <t>2025 Q2 (Rep)</t>
  </si>
  <si>
    <t>2025 Q3 (Rep)</t>
  </si>
  <si>
    <t>2025 Q4 (Rep)</t>
  </si>
  <si>
    <t>2026 Q1 (Rep)</t>
  </si>
  <si>
    <t>2026 Q2 (Rep)</t>
  </si>
  <si>
    <t>2026 Q3 (Fwd)</t>
  </si>
  <si>
    <t>2026 Q4 (Fwd)</t>
  </si>
  <si>
    <t>2027 Q1 (Fwd)</t>
  </si>
  <si>
    <t>2027 Q2 (Fwd)</t>
  </si>
  <si>
    <t>2027 Q3 (Fwd)</t>
  </si>
  <si>
    <t>2027 Q4 (Fwd)</t>
  </si>
  <si>
    <t>2028 Q1 (Fwd)</t>
  </si>
  <si>
    <t>2028 Q2 (Fwd)</t>
  </si>
  <si>
    <t>2028 Q3 (Fwd)</t>
  </si>
  <si>
    <t/>
  </si>
  <si>
    <t>Free/Premium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</si>
</sst>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3">
    <xf numFmtId="0" fontId="0" fillId="0" borderId="0" xfId="0"/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  <xf numFmtId="0" fontId="2" fillId="36" borderId="5" xfId="33" applyFont="1" applyFill="1"/>
    <xf numFmtId="4" fontId="1" fillId="36" borderId="2" xfId="30" applyFill="1"/>
    <xf numFmtId="4" fontId="1" fillId="36" borderId="2" xfId="49" applyFill="1">
      <alignment horizontal="right"/>
    </xf>
    <xf numFmtId="0" fontId="0" fillId="36" borderId="0" xfId="0" applyFill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6"/>
  <sheetViews>
    <sheetView tabSelected="1" workbookViewId="0">
      <selection activeCell="K28" sqref="K28"/>
    </sheetView>
  </sheetViews>
  <sheetFormatPr baseColWidth="10" defaultColWidth="8.83203125" defaultRowHeight="15" x14ac:dyDescent="0.2"/>
  <cols>
    <col min="1" max="1" width="34.33203125" customWidth="1"/>
    <col min="2" max="4" width="0" hidden="1" customWidth="1"/>
    <col min="5" max="29" width="19" customWidth="1"/>
  </cols>
  <sheetData>
    <row r="1" spans="1:29" ht="20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2">
      <c r="A3" s="2" t="s">
        <v>2</v>
      </c>
      <c r="B3" s="2"/>
      <c r="C3" s="2"/>
      <c r="D3" s="2"/>
      <c r="E3" s="2" t="s">
        <v>501</v>
      </c>
      <c r="F3" s="2" t="s">
        <v>502</v>
      </c>
      <c r="G3" s="2" t="s">
        <v>503</v>
      </c>
      <c r="H3" s="2" t="s">
        <v>504</v>
      </c>
      <c r="I3" s="2" t="s">
        <v>505</v>
      </c>
      <c r="J3" s="2" t="s">
        <v>506</v>
      </c>
      <c r="K3" s="2" t="s">
        <v>507</v>
      </c>
      <c r="L3" s="2" t="s">
        <v>508</v>
      </c>
      <c r="M3" s="2" t="s">
        <v>509</v>
      </c>
      <c r="N3" s="2" t="s">
        <v>510</v>
      </c>
      <c r="O3" s="2" t="s">
        <v>511</v>
      </c>
      <c r="P3" s="2" t="s">
        <v>512</v>
      </c>
      <c r="Q3" s="2" t="s">
        <v>513</v>
      </c>
      <c r="R3" s="2" t="s">
        <v>514</v>
      </c>
      <c r="S3" s="2" t="s">
        <v>515</v>
      </c>
      <c r="T3" s="2" t="s">
        <v>516</v>
      </c>
      <c r="U3" s="2" t="s">
        <v>517</v>
      </c>
      <c r="V3" s="2" t="s">
        <v>518</v>
      </c>
      <c r="W3" s="2" t="s">
        <v>519</v>
      </c>
      <c r="X3" s="2" t="s">
        <v>520</v>
      </c>
      <c r="Y3" s="2" t="s">
        <v>521</v>
      </c>
      <c r="Z3" s="2" t="s">
        <v>522</v>
      </c>
      <c r="AA3" s="2" t="s">
        <v>523</v>
      </c>
      <c r="AB3" s="2" t="s">
        <v>524</v>
      </c>
      <c r="AC3" s="2" t="s">
        <v>525</v>
      </c>
    </row>
    <row r="4" spans="1:29" x14ac:dyDescent="0.2">
      <c r="A4" s="6" t="s">
        <v>3</v>
      </c>
      <c r="B4" s="6" t="s">
        <v>4</v>
      </c>
      <c r="C4" s="6" t="s">
        <v>5</v>
      </c>
      <c r="D4" s="6" t="s">
        <v>6</v>
      </c>
      <c r="E4" s="6">
        <v>44834</v>
      </c>
      <c r="F4" s="6">
        <v>44926</v>
      </c>
      <c r="G4" s="6">
        <v>45016</v>
      </c>
      <c r="H4" s="6">
        <v>45107</v>
      </c>
      <c r="I4" s="6">
        <v>45199</v>
      </c>
      <c r="J4" s="6">
        <v>45291</v>
      </c>
      <c r="K4" s="6">
        <v>45382</v>
      </c>
      <c r="L4" s="6">
        <v>45473</v>
      </c>
      <c r="M4" s="6">
        <v>45565</v>
      </c>
      <c r="N4" s="6">
        <v>45657</v>
      </c>
      <c r="O4" s="6">
        <v>45747</v>
      </c>
      <c r="P4" s="6">
        <v>45838</v>
      </c>
      <c r="Q4" s="6">
        <v>45930</v>
      </c>
      <c r="R4" s="6">
        <v>46022</v>
      </c>
      <c r="S4" s="6">
        <v>46112</v>
      </c>
      <c r="T4" s="6">
        <v>46203</v>
      </c>
      <c r="U4" s="6">
        <v>46295</v>
      </c>
      <c r="V4" s="6">
        <v>46387</v>
      </c>
      <c r="W4" s="6">
        <v>46477</v>
      </c>
      <c r="X4" s="6">
        <v>46568</v>
      </c>
      <c r="Y4" s="6">
        <v>46660</v>
      </c>
      <c r="Z4" s="6">
        <v>46752</v>
      </c>
      <c r="AA4" s="6">
        <v>46843</v>
      </c>
      <c r="AB4" s="6">
        <v>46934</v>
      </c>
      <c r="AC4" s="6">
        <v>47026</v>
      </c>
    </row>
    <row r="5" spans="1:29" x14ac:dyDescent="0.2">
      <c r="A5" s="7" t="s">
        <v>7</v>
      </c>
      <c r="B5" s="3"/>
      <c r="C5" s="3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">
      <c r="A6" s="7" t="s">
        <v>8</v>
      </c>
      <c r="B6" s="3" t="s">
        <v>9</v>
      </c>
      <c r="C6" s="3" t="s">
        <v>10</v>
      </c>
      <c r="D6" s="3"/>
      <c r="E6" s="8">
        <v>-0.99</v>
      </c>
      <c r="F6" s="8">
        <v>-1.4</v>
      </c>
      <c r="G6" s="8">
        <v>-1.1599999999999999</v>
      </c>
      <c r="H6" s="8">
        <v>-1.55</v>
      </c>
      <c r="I6" s="8">
        <v>0.33</v>
      </c>
      <c r="J6" s="8">
        <v>-0.36</v>
      </c>
      <c r="K6" s="8">
        <v>0.97</v>
      </c>
      <c r="L6" s="8">
        <v>1.33</v>
      </c>
      <c r="M6" s="8">
        <v>1.45</v>
      </c>
      <c r="N6" s="8">
        <v>1.76</v>
      </c>
      <c r="O6" s="8">
        <v>1.07</v>
      </c>
      <c r="P6" s="8">
        <v>-0.42</v>
      </c>
      <c r="Q6" s="8">
        <v>3.28</v>
      </c>
      <c r="R6" s="8">
        <v>4.43</v>
      </c>
      <c r="S6" s="8">
        <v>3.45</v>
      </c>
      <c r="T6" s="8">
        <v>2.61</v>
      </c>
      <c r="U6" s="8">
        <v>2.8303125000000007</v>
      </c>
      <c r="V6" s="8">
        <v>3.3849999999999993</v>
      </c>
      <c r="W6" s="8">
        <v>3.6795</v>
      </c>
      <c r="X6" s="8">
        <v>3.6759999999999997</v>
      </c>
      <c r="Y6" s="8">
        <v>3.8216666666666663</v>
      </c>
      <c r="Z6" s="8">
        <v>4.2416666666666671</v>
      </c>
      <c r="AA6" s="8">
        <v>4.5985714285714296</v>
      </c>
      <c r="AB6" s="8">
        <v>4.5457142857142854</v>
      </c>
      <c r="AC6" s="8">
        <v>4.7742857142857149</v>
      </c>
    </row>
    <row r="7" spans="1:29" x14ac:dyDescent="0.2">
      <c r="A7" s="7" t="s">
        <v>11</v>
      </c>
      <c r="B7" s="3" t="s">
        <v>12</v>
      </c>
      <c r="C7" s="3" t="s">
        <v>13</v>
      </c>
      <c r="D7" s="3"/>
      <c r="E7" s="8">
        <v>3036</v>
      </c>
      <c r="F7" s="8">
        <v>3166</v>
      </c>
      <c r="G7" s="8">
        <v>3042</v>
      </c>
      <c r="H7" s="8">
        <v>3177</v>
      </c>
      <c r="I7" s="8">
        <v>3357</v>
      </c>
      <c r="J7" s="8">
        <v>3671</v>
      </c>
      <c r="K7" s="8">
        <v>3636</v>
      </c>
      <c r="L7" s="8">
        <v>3807</v>
      </c>
      <c r="M7" s="8">
        <v>3988</v>
      </c>
      <c r="N7" s="8">
        <v>4242</v>
      </c>
      <c r="O7" s="8">
        <v>4190</v>
      </c>
      <c r="P7" s="8">
        <v>4193</v>
      </c>
      <c r="Q7" s="8">
        <v>4272</v>
      </c>
      <c r="R7" s="8">
        <v>4531</v>
      </c>
      <c r="S7" s="8">
        <v>4533</v>
      </c>
      <c r="T7" s="8">
        <v>4777</v>
      </c>
      <c r="U7" s="8">
        <v>4986.6875</v>
      </c>
      <c r="V7" s="8">
        <v>5253.03125</v>
      </c>
      <c r="W7" s="8">
        <v>5247.7368421052624</v>
      </c>
      <c r="X7" s="8">
        <v>5471.105263157895</v>
      </c>
      <c r="Y7" s="8">
        <v>5688.2352941176468</v>
      </c>
      <c r="Z7" s="8">
        <v>5982.5294117647054</v>
      </c>
      <c r="AA7" s="8">
        <v>6068.1428571428578</v>
      </c>
      <c r="AB7" s="8">
        <v>6311.4285714285716</v>
      </c>
      <c r="AC7" s="8">
        <v>6531.2857142857138</v>
      </c>
    </row>
    <row r="8" spans="1:29" x14ac:dyDescent="0.2">
      <c r="A8" s="7" t="s">
        <v>14</v>
      </c>
      <c r="B8" s="3"/>
      <c r="C8" s="3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A9" s="7" t="s">
        <v>15</v>
      </c>
      <c r="B9" s="3"/>
      <c r="C9" s="3"/>
      <c r="D9" s="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7" t="s">
        <v>16</v>
      </c>
      <c r="B10" s="3" t="s">
        <v>17</v>
      </c>
      <c r="C10" s="3" t="s">
        <v>18</v>
      </c>
      <c r="D10" s="3" t="s">
        <v>19</v>
      </c>
      <c r="E10" s="8">
        <v>2651</v>
      </c>
      <c r="F10" s="8">
        <v>2717</v>
      </c>
      <c r="G10" s="8">
        <v>2713</v>
      </c>
      <c r="H10" s="8">
        <v>2773</v>
      </c>
      <c r="I10" s="8">
        <v>2910</v>
      </c>
      <c r="J10" s="8">
        <v>3170</v>
      </c>
      <c r="K10" s="8">
        <v>3247</v>
      </c>
      <c r="L10" s="8">
        <v>3351</v>
      </c>
      <c r="M10" s="8">
        <v>3516</v>
      </c>
      <c r="N10" s="8">
        <v>3705</v>
      </c>
      <c r="O10" s="8">
        <v>3771</v>
      </c>
      <c r="P10" s="8">
        <v>3740</v>
      </c>
      <c r="Q10" s="8">
        <v>3826</v>
      </c>
      <c r="R10" s="8">
        <v>4013</v>
      </c>
      <c r="S10" s="8">
        <v>4148</v>
      </c>
      <c r="T10" s="8">
        <v>4331</v>
      </c>
      <c r="U10" s="8">
        <v>4497.6637383587013</v>
      </c>
      <c r="V10" s="8">
        <v>4679.9810488867079</v>
      </c>
      <c r="W10" s="8">
        <v>4800.1827037483754</v>
      </c>
      <c r="X10" s="8">
        <v>4960.6318000826868</v>
      </c>
      <c r="Y10" s="8">
        <v>5138.6991270200988</v>
      </c>
      <c r="Z10" s="8">
        <v>5336.6332960357577</v>
      </c>
      <c r="AA10" s="8">
        <v>5550.7795263746029</v>
      </c>
      <c r="AB10" s="8">
        <v>5714.546806314559</v>
      </c>
      <c r="AC10" s="8">
        <v>5884.1560165063629</v>
      </c>
    </row>
    <row r="11" spans="1:29" x14ac:dyDescent="0.2">
      <c r="A11" s="7" t="s">
        <v>20</v>
      </c>
      <c r="B11" s="3" t="s">
        <v>21</v>
      </c>
      <c r="C11" s="3" t="s">
        <v>22</v>
      </c>
      <c r="D11" s="3" t="s">
        <v>19</v>
      </c>
      <c r="E11" s="8">
        <v>1908</v>
      </c>
      <c r="F11" s="8">
        <v>1939</v>
      </c>
      <c r="G11" s="8">
        <v>1937</v>
      </c>
      <c r="H11" s="8">
        <v>1984</v>
      </c>
      <c r="I11" s="8">
        <v>2062</v>
      </c>
      <c r="J11" s="8">
        <v>2248</v>
      </c>
      <c r="K11" s="8">
        <v>2268</v>
      </c>
      <c r="L11" s="8">
        <v>2300</v>
      </c>
      <c r="M11" s="8">
        <v>2338</v>
      </c>
      <c r="N11" s="8">
        <v>2418</v>
      </c>
      <c r="O11" s="8">
        <v>2509</v>
      </c>
      <c r="P11" s="8">
        <v>2503</v>
      </c>
      <c r="Q11" s="8">
        <v>2557</v>
      </c>
      <c r="R11" s="8">
        <v>2615</v>
      </c>
      <c r="S11" s="8">
        <v>2703</v>
      </c>
      <c r="T11" s="8">
        <v>2820</v>
      </c>
      <c r="U11" s="8">
        <v>2950.5713691643327</v>
      </c>
      <c r="V11" s="8">
        <v>3009.3473708557331</v>
      </c>
      <c r="W11" s="8">
        <v>3085.2367767058054</v>
      </c>
      <c r="X11" s="8">
        <v>3189.2806939799934</v>
      </c>
      <c r="Y11" s="8">
        <v>3319.7416401684154</v>
      </c>
      <c r="Z11" s="8">
        <v>3389.0348800784295</v>
      </c>
      <c r="AA11" s="8">
        <v>3511.5531540754614</v>
      </c>
      <c r="AB11" s="8">
        <v>3611.6874829460312</v>
      </c>
      <c r="AC11" s="8">
        <v>3747.6057142670597</v>
      </c>
    </row>
    <row r="12" spans="1:29" x14ac:dyDescent="0.2">
      <c r="A12" s="7" t="s">
        <v>23</v>
      </c>
      <c r="B12" s="3" t="s">
        <v>24</v>
      </c>
      <c r="C12" s="3" t="s">
        <v>25</v>
      </c>
      <c r="D12" s="3" t="s">
        <v>19</v>
      </c>
      <c r="E12" s="8">
        <v>743</v>
      </c>
      <c r="F12" s="8">
        <v>778</v>
      </c>
      <c r="G12" s="8">
        <v>776</v>
      </c>
      <c r="H12" s="8">
        <v>789</v>
      </c>
      <c r="I12" s="8">
        <v>847</v>
      </c>
      <c r="J12" s="8">
        <v>922</v>
      </c>
      <c r="K12" s="8">
        <v>979</v>
      </c>
      <c r="L12" s="8">
        <v>1051</v>
      </c>
      <c r="M12" s="8">
        <v>1178</v>
      </c>
      <c r="N12" s="8">
        <v>1287</v>
      </c>
      <c r="O12" s="8">
        <v>1262</v>
      </c>
      <c r="P12" s="8">
        <v>1237</v>
      </c>
      <c r="Q12" s="8">
        <v>1351</v>
      </c>
      <c r="R12" s="8">
        <v>1398</v>
      </c>
      <c r="S12" s="8">
        <v>1445</v>
      </c>
      <c r="T12" s="8">
        <v>1511</v>
      </c>
      <c r="U12" s="8">
        <v>1545.3676359874853</v>
      </c>
      <c r="V12" s="8">
        <v>1657.2176660699981</v>
      </c>
      <c r="W12" s="8">
        <v>1707.117806061048</v>
      </c>
      <c r="X12" s="8">
        <v>1766.2389115950041</v>
      </c>
      <c r="Y12" s="8">
        <v>1810.4869406110097</v>
      </c>
      <c r="Z12" s="8">
        <v>1935.3220601838279</v>
      </c>
      <c r="AA12" s="8">
        <v>2039.2263722991431</v>
      </c>
      <c r="AB12" s="8">
        <v>2102.8593233685274</v>
      </c>
      <c r="AC12" s="8">
        <v>2136.5503022393041</v>
      </c>
    </row>
    <row r="13" spans="1:29" x14ac:dyDescent="0.2">
      <c r="A13" s="7" t="s">
        <v>26</v>
      </c>
      <c r="B13" s="3" t="s">
        <v>27</v>
      </c>
      <c r="C13" s="3" t="s">
        <v>28</v>
      </c>
      <c r="D13" s="3" t="s">
        <v>19</v>
      </c>
      <c r="E13" s="8">
        <v>4.63</v>
      </c>
      <c r="F13" s="8">
        <v>4.55</v>
      </c>
      <c r="G13" s="8">
        <v>4.32</v>
      </c>
      <c r="H13" s="8">
        <v>4.2699999999999996</v>
      </c>
      <c r="I13" s="8">
        <v>4.34</v>
      </c>
      <c r="J13" s="8">
        <v>4.5999999999999996</v>
      </c>
      <c r="K13" s="8">
        <v>4.55</v>
      </c>
      <c r="L13" s="8">
        <v>4.62</v>
      </c>
      <c r="M13" s="8">
        <v>4.71</v>
      </c>
      <c r="N13" s="8">
        <v>4.8499999999999996</v>
      </c>
      <c r="O13" s="8">
        <v>4.7300000000000004</v>
      </c>
      <c r="P13" s="8">
        <v>4.57</v>
      </c>
      <c r="Q13" s="8">
        <v>4.53</v>
      </c>
      <c r="R13" s="8">
        <v>4.7</v>
      </c>
      <c r="S13" s="8">
        <v>4.76</v>
      </c>
      <c r="T13" s="8">
        <v>4.8899999999999997</v>
      </c>
      <c r="U13" s="8">
        <v>4.9531319382360062</v>
      </c>
      <c r="V13" s="8">
        <v>5.0331896835319503</v>
      </c>
      <c r="W13" s="8">
        <v>5.0582471774148692</v>
      </c>
      <c r="X13" s="8">
        <v>5.160107404821848</v>
      </c>
      <c r="Y13" s="8">
        <v>5.2410285752792571</v>
      </c>
      <c r="Z13" s="8">
        <v>5.3338182794961337</v>
      </c>
      <c r="AA13" s="8">
        <v>5.3633065762182008</v>
      </c>
      <c r="AB13" s="8">
        <v>5.4516547906577442</v>
      </c>
      <c r="AC13" s="8">
        <v>5.5051018698739247</v>
      </c>
    </row>
    <row r="14" spans="1:29" x14ac:dyDescent="0.2">
      <c r="A14" s="7" t="s">
        <v>14</v>
      </c>
      <c r="B14" s="3"/>
      <c r="C14" s="3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">
      <c r="A15" s="7" t="s">
        <v>29</v>
      </c>
      <c r="B15" s="3"/>
      <c r="C15" s="3"/>
      <c r="D15" s="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">
      <c r="A16" s="7" t="s">
        <v>16</v>
      </c>
      <c r="B16" s="3" t="s">
        <v>17</v>
      </c>
      <c r="C16" s="3" t="s">
        <v>18</v>
      </c>
      <c r="D16" s="3" t="s">
        <v>30</v>
      </c>
      <c r="E16" s="8">
        <v>385</v>
      </c>
      <c r="F16" s="8">
        <v>449</v>
      </c>
      <c r="G16" s="8">
        <v>329</v>
      </c>
      <c r="H16" s="8">
        <v>404</v>
      </c>
      <c r="I16" s="8">
        <v>447</v>
      </c>
      <c r="J16" s="8">
        <v>501</v>
      </c>
      <c r="K16" s="8">
        <v>389</v>
      </c>
      <c r="L16" s="8">
        <v>456</v>
      </c>
      <c r="M16" s="8">
        <v>472</v>
      </c>
      <c r="N16" s="8">
        <v>537</v>
      </c>
      <c r="O16" s="8">
        <v>419</v>
      </c>
      <c r="P16" s="8">
        <v>453</v>
      </c>
      <c r="Q16" s="8">
        <v>446</v>
      </c>
      <c r="R16" s="8">
        <v>518</v>
      </c>
      <c r="S16" s="8">
        <v>385</v>
      </c>
      <c r="T16" s="8">
        <v>446</v>
      </c>
      <c r="U16" s="8">
        <v>485.43579138570857</v>
      </c>
      <c r="V16" s="8">
        <v>574.41402820633618</v>
      </c>
      <c r="W16" s="8">
        <v>441.94604137683763</v>
      </c>
      <c r="X16" s="8">
        <v>509.37088126158511</v>
      </c>
      <c r="Y16" s="8">
        <v>549.80402724258977</v>
      </c>
      <c r="Z16" s="8">
        <v>647.63414181328562</v>
      </c>
      <c r="AA16" s="8">
        <v>517.48995163404265</v>
      </c>
      <c r="AB16" s="8">
        <v>597.02579486689547</v>
      </c>
      <c r="AC16" s="8">
        <v>646.98494803579388</v>
      </c>
    </row>
    <row r="17" spans="1:29" x14ac:dyDescent="0.2">
      <c r="A17" s="7" t="s">
        <v>20</v>
      </c>
      <c r="B17" s="3" t="s">
        <v>21</v>
      </c>
      <c r="C17" s="3" t="s">
        <v>22</v>
      </c>
      <c r="D17" s="3" t="s">
        <v>30</v>
      </c>
      <c r="E17" s="8">
        <v>378</v>
      </c>
      <c r="F17" s="8">
        <v>426</v>
      </c>
      <c r="G17" s="8">
        <v>339</v>
      </c>
      <c r="H17" s="8">
        <v>427</v>
      </c>
      <c r="I17" s="8">
        <v>410</v>
      </c>
      <c r="J17" s="8">
        <v>443</v>
      </c>
      <c r="K17" s="8">
        <v>364</v>
      </c>
      <c r="L17" s="8">
        <v>395</v>
      </c>
      <c r="M17" s="8">
        <v>410</v>
      </c>
      <c r="N17" s="8">
        <v>456</v>
      </c>
      <c r="O17" s="8">
        <v>355</v>
      </c>
      <c r="P17" s="8">
        <v>370</v>
      </c>
      <c r="Q17" s="8">
        <v>364</v>
      </c>
      <c r="R17" s="8">
        <v>417</v>
      </c>
      <c r="S17" s="8">
        <v>335</v>
      </c>
      <c r="T17" s="8">
        <v>361</v>
      </c>
      <c r="U17" s="8">
        <v>389.97103213507535</v>
      </c>
      <c r="V17" s="8">
        <v>448.13076390549276</v>
      </c>
      <c r="W17" s="8">
        <v>363.45555375871311</v>
      </c>
      <c r="X17" s="8">
        <v>400.63444135618698</v>
      </c>
      <c r="Y17" s="8">
        <v>431.41310554399416</v>
      </c>
      <c r="Z17" s="8">
        <v>495.91875285046848</v>
      </c>
      <c r="AA17" s="8">
        <v>407.64867877154126</v>
      </c>
      <c r="AB17" s="8">
        <v>445.09361565072993</v>
      </c>
      <c r="AC17" s="8">
        <v>477.68420492258008</v>
      </c>
    </row>
    <row r="18" spans="1:29" x14ac:dyDescent="0.2">
      <c r="A18" s="7" t="s">
        <v>23</v>
      </c>
      <c r="B18" s="3" t="s">
        <v>24</v>
      </c>
      <c r="C18" s="3" t="s">
        <v>25</v>
      </c>
      <c r="D18" s="3" t="s">
        <v>30</v>
      </c>
      <c r="E18" s="8">
        <v>7</v>
      </c>
      <c r="F18" s="8">
        <v>23</v>
      </c>
      <c r="G18" s="8">
        <v>-10</v>
      </c>
      <c r="H18" s="8">
        <v>-23</v>
      </c>
      <c r="I18" s="8">
        <v>37</v>
      </c>
      <c r="J18" s="8">
        <v>58</v>
      </c>
      <c r="K18" s="8">
        <v>25</v>
      </c>
      <c r="L18" s="8">
        <v>61</v>
      </c>
      <c r="M18" s="8">
        <v>62</v>
      </c>
      <c r="N18" s="8">
        <v>81</v>
      </c>
      <c r="O18" s="8">
        <v>64</v>
      </c>
      <c r="P18" s="8">
        <v>83</v>
      </c>
      <c r="Q18" s="8">
        <v>35</v>
      </c>
      <c r="R18" s="8">
        <v>101</v>
      </c>
      <c r="S18" s="8">
        <v>50</v>
      </c>
      <c r="T18" s="8">
        <v>85</v>
      </c>
      <c r="U18" s="8">
        <v>93.834243847781039</v>
      </c>
      <c r="V18" s="8">
        <v>126.50930242041609</v>
      </c>
      <c r="W18" s="8">
        <v>76.471193891866747</v>
      </c>
      <c r="X18" s="8">
        <v>108.70937901008642</v>
      </c>
      <c r="Y18" s="8">
        <v>118.72088790278671</v>
      </c>
      <c r="Z18" s="8">
        <v>154.89742249691739</v>
      </c>
      <c r="AA18" s="8">
        <v>109.84127286250141</v>
      </c>
      <c r="AB18" s="8">
        <v>151.93217921616537</v>
      </c>
      <c r="AC18" s="8">
        <v>169.30074311321377</v>
      </c>
    </row>
    <row r="19" spans="1:29" x14ac:dyDescent="0.2">
      <c r="A19" s="7" t="s">
        <v>14</v>
      </c>
      <c r="B19" s="3"/>
      <c r="C19" s="3"/>
      <c r="D19" s="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">
      <c r="A20" s="7" t="s">
        <v>31</v>
      </c>
      <c r="B20" s="3" t="s">
        <v>32</v>
      </c>
      <c r="C20" s="3" t="s">
        <v>33</v>
      </c>
      <c r="D20" s="3"/>
      <c r="E20" s="8">
        <v>456</v>
      </c>
      <c r="F20" s="8">
        <v>489</v>
      </c>
      <c r="G20" s="8">
        <v>515</v>
      </c>
      <c r="H20" s="8">
        <v>551</v>
      </c>
      <c r="I20" s="8">
        <v>574</v>
      </c>
      <c r="J20" s="8">
        <v>602</v>
      </c>
      <c r="K20" s="8">
        <v>615</v>
      </c>
      <c r="L20" s="8">
        <v>626</v>
      </c>
      <c r="M20" s="8">
        <v>640</v>
      </c>
      <c r="N20" s="8">
        <v>675</v>
      </c>
      <c r="O20" s="8">
        <v>678</v>
      </c>
      <c r="P20" s="8">
        <v>696</v>
      </c>
      <c r="Q20" s="8">
        <v>713</v>
      </c>
      <c r="R20" s="8">
        <v>751</v>
      </c>
      <c r="S20" s="8">
        <v>761</v>
      </c>
      <c r="T20" s="8">
        <v>777</v>
      </c>
      <c r="U20" s="8">
        <v>787.78585298454118</v>
      </c>
      <c r="V20" s="8">
        <v>819.85270581567056</v>
      </c>
      <c r="W20" s="8">
        <v>828.11553307649149</v>
      </c>
      <c r="X20" s="8">
        <v>843.63673296628315</v>
      </c>
      <c r="Y20" s="8">
        <v>857.08685143663718</v>
      </c>
      <c r="Z20" s="8">
        <v>885.48595693510947</v>
      </c>
      <c r="AA20" s="8">
        <v>889.33333759636855</v>
      </c>
      <c r="AB20" s="8">
        <v>905.00228874794277</v>
      </c>
      <c r="AC20" s="8">
        <v>918.55207214665427</v>
      </c>
    </row>
    <row r="21" spans="1:29" x14ac:dyDescent="0.2">
      <c r="A21" s="7" t="s">
        <v>34</v>
      </c>
      <c r="B21" s="3" t="s">
        <v>32</v>
      </c>
      <c r="C21" s="3" t="s">
        <v>33</v>
      </c>
      <c r="D21" s="3" t="s">
        <v>19</v>
      </c>
      <c r="E21" s="8">
        <v>195</v>
      </c>
      <c r="F21" s="8">
        <v>205</v>
      </c>
      <c r="G21" s="8">
        <v>210</v>
      </c>
      <c r="H21" s="8">
        <v>220</v>
      </c>
      <c r="I21" s="8">
        <v>226</v>
      </c>
      <c r="J21" s="8">
        <v>236</v>
      </c>
      <c r="K21" s="8">
        <v>239</v>
      </c>
      <c r="L21" s="8">
        <v>246</v>
      </c>
      <c r="M21" s="8">
        <v>252</v>
      </c>
      <c r="N21" s="8">
        <v>263</v>
      </c>
      <c r="O21" s="8">
        <v>268</v>
      </c>
      <c r="P21" s="8">
        <v>276</v>
      </c>
      <c r="Q21" s="8">
        <v>281</v>
      </c>
      <c r="R21" s="8">
        <v>290</v>
      </c>
      <c r="S21" s="8">
        <v>293</v>
      </c>
      <c r="T21" s="8">
        <v>300</v>
      </c>
      <c r="U21" s="8">
        <v>305.14249065217393</v>
      </c>
      <c r="V21" s="8">
        <v>315.05755756611177</v>
      </c>
      <c r="W21" s="8">
        <v>318.26999647815404</v>
      </c>
      <c r="X21" s="8">
        <v>324.88651685117429</v>
      </c>
      <c r="Y21" s="8">
        <v>330.39893990778029</v>
      </c>
      <c r="Z21" s="8">
        <v>339.46501515625636</v>
      </c>
      <c r="AA21" s="8">
        <v>342.94115825897774</v>
      </c>
      <c r="AB21" s="8">
        <v>349.30328535427134</v>
      </c>
      <c r="AC21" s="8">
        <v>354.94013117031159</v>
      </c>
    </row>
    <row r="22" spans="1:29" x14ac:dyDescent="0.2">
      <c r="A22" s="7" t="s">
        <v>35</v>
      </c>
      <c r="B22" s="3" t="s">
        <v>32</v>
      </c>
      <c r="C22" s="3" t="s">
        <v>33</v>
      </c>
      <c r="D22" s="3" t="s">
        <v>30</v>
      </c>
      <c r="E22" s="8">
        <v>273</v>
      </c>
      <c r="F22" s="8">
        <v>295</v>
      </c>
      <c r="G22" s="8">
        <v>317</v>
      </c>
      <c r="H22" s="8">
        <v>343</v>
      </c>
      <c r="I22" s="8">
        <v>361</v>
      </c>
      <c r="J22" s="8">
        <v>379</v>
      </c>
      <c r="K22" s="8">
        <v>388</v>
      </c>
      <c r="L22" s="8">
        <v>393</v>
      </c>
      <c r="M22" s="8">
        <v>402</v>
      </c>
      <c r="N22" s="8">
        <v>425</v>
      </c>
      <c r="O22" s="8">
        <v>423</v>
      </c>
      <c r="P22" s="8">
        <v>433</v>
      </c>
      <c r="Q22" s="8">
        <v>446</v>
      </c>
      <c r="R22" s="8">
        <v>476</v>
      </c>
      <c r="S22" s="8">
        <v>483</v>
      </c>
      <c r="T22" s="8">
        <v>494</v>
      </c>
      <c r="U22" s="8">
        <v>498.21079127922343</v>
      </c>
      <c r="V22" s="8">
        <v>519.97266830689853</v>
      </c>
      <c r="W22" s="8">
        <v>524.39584212261059</v>
      </c>
      <c r="X22" s="8">
        <v>533.6307043065716</v>
      </c>
      <c r="Y22" s="8">
        <v>540.89822088028984</v>
      </c>
      <c r="Z22" s="8">
        <v>560.63097760929043</v>
      </c>
      <c r="AA22" s="8">
        <v>564.04149114327026</v>
      </c>
      <c r="AB22" s="8">
        <v>573.03019980855493</v>
      </c>
      <c r="AC22" s="8">
        <v>579.83875203753246</v>
      </c>
    </row>
    <row r="23" spans="1:29" x14ac:dyDescent="0.2">
      <c r="A23" s="7" t="s">
        <v>14</v>
      </c>
      <c r="B23" s="3"/>
      <c r="C23" s="3"/>
      <c r="D23" s="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">
      <c r="A24" s="7" t="s">
        <v>36</v>
      </c>
      <c r="B24" s="3" t="s">
        <v>37</v>
      </c>
      <c r="C24" s="3" t="s">
        <v>38</v>
      </c>
      <c r="D24" s="3"/>
      <c r="E24" s="8">
        <v>-228</v>
      </c>
      <c r="F24" s="8">
        <v>-231</v>
      </c>
      <c r="G24" s="8">
        <v>-156</v>
      </c>
      <c r="H24" s="8">
        <v>-247</v>
      </c>
      <c r="I24" s="8">
        <v>32</v>
      </c>
      <c r="J24" s="8">
        <v>-75</v>
      </c>
      <c r="K24" s="8">
        <v>168</v>
      </c>
      <c r="L24" s="8">
        <v>266</v>
      </c>
      <c r="M24" s="8">
        <v>454</v>
      </c>
      <c r="N24" s="8">
        <v>477</v>
      </c>
      <c r="O24" s="8">
        <v>509</v>
      </c>
      <c r="P24" s="8">
        <v>406</v>
      </c>
      <c r="Q24" s="8">
        <v>582</v>
      </c>
      <c r="R24" s="8">
        <v>701</v>
      </c>
      <c r="S24" s="8">
        <v>715</v>
      </c>
      <c r="T24" s="8">
        <v>655</v>
      </c>
      <c r="U24" s="8">
        <v>674.42857142857144</v>
      </c>
      <c r="V24" s="8">
        <v>820.75862068965523</v>
      </c>
      <c r="W24" s="8">
        <v>899.55555555555554</v>
      </c>
      <c r="X24" s="8">
        <v>889.05555555555554</v>
      </c>
      <c r="Y24" s="8">
        <v>935.5625</v>
      </c>
      <c r="Z24" s="8">
        <v>1052.875</v>
      </c>
      <c r="AA24" s="8">
        <v>1156</v>
      </c>
      <c r="AB24" s="8">
        <v>1136.1428571428571</v>
      </c>
      <c r="AC24" s="8">
        <v>1189.4285714285716</v>
      </c>
    </row>
    <row r="25" spans="1:29" x14ac:dyDescent="0.2">
      <c r="A25" s="7" t="s">
        <v>39</v>
      </c>
      <c r="B25" s="3" t="s">
        <v>40</v>
      </c>
      <c r="C25" s="3" t="s">
        <v>41</v>
      </c>
      <c r="D25" s="3"/>
      <c r="E25" s="8">
        <v>-7.5098814229249005</v>
      </c>
      <c r="F25" s="8">
        <v>-7.2962728995578017</v>
      </c>
      <c r="G25" s="8">
        <v>-5.1282051282051277</v>
      </c>
      <c r="H25" s="8">
        <v>-7.7746301542335541</v>
      </c>
      <c r="I25" s="8">
        <v>0.95323205242776288</v>
      </c>
      <c r="J25" s="8">
        <v>-2.0430400435848544</v>
      </c>
      <c r="K25" s="8">
        <v>4.6204620462046204</v>
      </c>
      <c r="L25" s="8">
        <v>6.9871289729445758</v>
      </c>
      <c r="M25" s="8">
        <v>11.384152457372117</v>
      </c>
      <c r="N25" s="8">
        <v>11.244695898161245</v>
      </c>
      <c r="O25" s="8">
        <v>12.147971360381861</v>
      </c>
      <c r="P25" s="8">
        <v>9.6828046744574294</v>
      </c>
      <c r="Q25" s="8">
        <v>13.623595505617978</v>
      </c>
      <c r="R25" s="8">
        <v>15.47119841094681</v>
      </c>
      <c r="S25" s="8">
        <v>15.773218619016106</v>
      </c>
      <c r="T25" s="8">
        <v>13.711534435838393</v>
      </c>
      <c r="U25" s="8">
        <v>13.595730420444589</v>
      </c>
      <c r="V25" s="8">
        <v>15.621850212775241</v>
      </c>
      <c r="W25" s="8">
        <v>16.959511101772968</v>
      </c>
      <c r="X25" s="8">
        <v>16.123948765556996</v>
      </c>
      <c r="Y25" s="8">
        <v>16.369961721416605</v>
      </c>
      <c r="Z25" s="8">
        <v>17.688716772931485</v>
      </c>
      <c r="AA25" s="8">
        <v>19.050412002774689</v>
      </c>
      <c r="AB25" s="8">
        <v>17.993864825381895</v>
      </c>
      <c r="AC25" s="8">
        <v>18.21577948162534</v>
      </c>
    </row>
    <row r="26" spans="1:29" x14ac:dyDescent="0.2">
      <c r="A26" s="7" t="s">
        <v>42</v>
      </c>
      <c r="B26" s="3" t="s">
        <v>43</v>
      </c>
      <c r="C26" s="3" t="s">
        <v>44</v>
      </c>
      <c r="D26" s="3"/>
      <c r="E26" s="8">
        <v>-184</v>
      </c>
      <c r="F26" s="8">
        <v>-199</v>
      </c>
      <c r="G26" s="8">
        <v>-112</v>
      </c>
      <c r="H26" s="8">
        <v>-203</v>
      </c>
      <c r="I26" s="8">
        <v>58</v>
      </c>
      <c r="J26" s="8">
        <v>-41</v>
      </c>
      <c r="K26" s="8">
        <v>199</v>
      </c>
      <c r="L26" s="8">
        <v>296</v>
      </c>
      <c r="M26" s="8">
        <v>484</v>
      </c>
      <c r="N26" s="8">
        <v>507</v>
      </c>
      <c r="O26" s="8">
        <v>536</v>
      </c>
      <c r="P26" s="8">
        <v>432</v>
      </c>
      <c r="Q26" s="8">
        <v>606</v>
      </c>
      <c r="R26" s="8">
        <v>726</v>
      </c>
      <c r="S26" s="8">
        <v>741</v>
      </c>
      <c r="T26" s="8">
        <v>684</v>
      </c>
      <c r="U26" s="8">
        <v>716.41666666666663</v>
      </c>
      <c r="V26" s="8">
        <v>861</v>
      </c>
      <c r="W26" s="8">
        <v>935.07142857142856</v>
      </c>
      <c r="X26" s="8">
        <v>918.35714285714278</v>
      </c>
      <c r="Y26" s="8">
        <v>967.84615384615381</v>
      </c>
      <c r="Z26" s="8">
        <v>1083.8461538461538</v>
      </c>
      <c r="AA26" s="8">
        <v>1184</v>
      </c>
      <c r="AB26" s="8">
        <v>1165.2857142857144</v>
      </c>
      <c r="AC26" s="8">
        <v>1218.8571428571429</v>
      </c>
    </row>
    <row r="27" spans="1:29" x14ac:dyDescent="0.2">
      <c r="A27" s="7" t="s">
        <v>45</v>
      </c>
      <c r="B27" s="3" t="s">
        <v>46</v>
      </c>
      <c r="C27" s="3" t="s">
        <v>47</v>
      </c>
      <c r="D27" s="3"/>
      <c r="E27" s="8">
        <v>-166</v>
      </c>
      <c r="F27" s="8">
        <v>-270</v>
      </c>
      <c r="G27" s="8">
        <v>-225</v>
      </c>
      <c r="H27" s="8">
        <v>-302</v>
      </c>
      <c r="I27" s="8">
        <v>65</v>
      </c>
      <c r="J27" s="8">
        <v>-70</v>
      </c>
      <c r="K27" s="8">
        <v>197</v>
      </c>
      <c r="L27" s="8">
        <v>274</v>
      </c>
      <c r="M27" s="8">
        <v>300</v>
      </c>
      <c r="N27" s="8">
        <v>367</v>
      </c>
      <c r="O27" s="8">
        <v>225</v>
      </c>
      <c r="P27" s="8">
        <v>-86</v>
      </c>
      <c r="Q27" s="8">
        <v>899</v>
      </c>
      <c r="R27" s="8">
        <v>1174</v>
      </c>
      <c r="S27" s="8">
        <v>721</v>
      </c>
      <c r="T27" s="8">
        <v>545</v>
      </c>
      <c r="U27" s="8">
        <v>584.20689655172418</v>
      </c>
      <c r="V27" s="8">
        <v>702.82758620689651</v>
      </c>
      <c r="W27" s="8">
        <v>760.8888888888888</v>
      </c>
      <c r="X27" s="8">
        <v>761.16666666666663</v>
      </c>
      <c r="Y27" s="8">
        <v>797.88235294117646</v>
      </c>
      <c r="Z27" s="8">
        <v>894.58823529411768</v>
      </c>
      <c r="AA27" s="8">
        <v>953.71428571428578</v>
      </c>
      <c r="AB27" s="8">
        <v>941.42857142857144</v>
      </c>
      <c r="AC27" s="8">
        <v>987.14285714285722</v>
      </c>
    </row>
    <row r="28" spans="1:29" x14ac:dyDescent="0.2">
      <c r="A28" s="7" t="s">
        <v>14</v>
      </c>
      <c r="B28" s="3"/>
      <c r="C28" s="3"/>
      <c r="D28" s="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">
      <c r="A29" s="7" t="s">
        <v>48</v>
      </c>
      <c r="B29" s="3" t="s">
        <v>49</v>
      </c>
      <c r="C29" s="3" t="s">
        <v>50</v>
      </c>
      <c r="D29" s="3"/>
      <c r="E29" s="8">
        <v>-5</v>
      </c>
      <c r="F29" s="8">
        <v>-5</v>
      </c>
      <c r="G29" s="8">
        <v>-2</v>
      </c>
      <c r="H29" s="8">
        <v>-2</v>
      </c>
      <c r="I29" s="8">
        <v>-1</v>
      </c>
      <c r="J29" s="8">
        <v>-1</v>
      </c>
      <c r="K29" s="8">
        <v>-5</v>
      </c>
      <c r="L29" s="8">
        <v>-2</v>
      </c>
      <c r="M29" s="8">
        <v>-4</v>
      </c>
      <c r="N29" s="8">
        <v>-6</v>
      </c>
      <c r="O29" s="8">
        <v>-6</v>
      </c>
      <c r="P29" s="8">
        <v>-10</v>
      </c>
      <c r="Q29" s="8">
        <v>-23</v>
      </c>
      <c r="R29" s="8">
        <v>-22</v>
      </c>
      <c r="S29" s="8">
        <v>-5</v>
      </c>
      <c r="T29" s="8">
        <v>-20</v>
      </c>
      <c r="U29" s="8">
        <v>-16.024782608695652</v>
      </c>
      <c r="V29" s="8">
        <v>-15.985217391304348</v>
      </c>
      <c r="W29" s="8">
        <v>-11.472</v>
      </c>
      <c r="X29" s="8">
        <v>-14.623333333333333</v>
      </c>
      <c r="Y29" s="8">
        <v>-17.498666666666669</v>
      </c>
      <c r="Z29" s="8">
        <v>-17.433333333333334</v>
      </c>
      <c r="AA29" s="8">
        <v>-12.891428571428571</v>
      </c>
      <c r="AB29" s="8">
        <v>-17.66</v>
      </c>
      <c r="AC29" s="8">
        <v>-22.05142857142857</v>
      </c>
    </row>
    <row r="30" spans="1:29" x14ac:dyDescent="0.2">
      <c r="A30" s="7" t="s">
        <v>51</v>
      </c>
      <c r="B30" s="3" t="s">
        <v>52</v>
      </c>
      <c r="C30" s="3" t="s">
        <v>53</v>
      </c>
      <c r="D30" s="3"/>
      <c r="E30" s="8">
        <v>35</v>
      </c>
      <c r="F30" s="8">
        <v>-73</v>
      </c>
      <c r="G30" s="8">
        <v>57</v>
      </c>
      <c r="H30" s="8">
        <v>9</v>
      </c>
      <c r="I30" s="8">
        <v>216</v>
      </c>
      <c r="J30" s="8">
        <v>396</v>
      </c>
      <c r="K30" s="8">
        <v>207</v>
      </c>
      <c r="L30" s="8">
        <v>490</v>
      </c>
      <c r="M30" s="8">
        <v>711</v>
      </c>
      <c r="N30" s="8">
        <v>877</v>
      </c>
      <c r="O30" s="8">
        <v>534</v>
      </c>
      <c r="P30" s="8">
        <v>700</v>
      </c>
      <c r="Q30" s="8">
        <v>806</v>
      </c>
      <c r="R30" s="8">
        <v>834</v>
      </c>
      <c r="S30" s="8">
        <v>824</v>
      </c>
      <c r="T30" s="8">
        <v>797</v>
      </c>
      <c r="U30" s="8">
        <v>864.11023609656206</v>
      </c>
      <c r="V30" s="8">
        <v>902.27278399954002</v>
      </c>
      <c r="W30" s="8">
        <v>910.28103971882706</v>
      </c>
      <c r="X30" s="8">
        <v>930.42276214511003</v>
      </c>
      <c r="Y30" s="8">
        <v>1027.2687984147399</v>
      </c>
      <c r="Z30" s="8">
        <v>1106.6544098806901</v>
      </c>
      <c r="AA30" s="8">
        <v>1058.2731425994</v>
      </c>
      <c r="AB30" s="8">
        <v>1128.2278495186999</v>
      </c>
      <c r="AC30" s="8">
        <v>1246.5548650984999</v>
      </c>
    </row>
    <row r="31" spans="1:29" x14ac:dyDescent="0.2">
      <c r="A31" s="7" t="s">
        <v>14</v>
      </c>
      <c r="B31" s="3"/>
      <c r="C31" s="3"/>
      <c r="D31" s="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">
      <c r="A32" s="7" t="s">
        <v>54</v>
      </c>
      <c r="B32" s="3" t="s">
        <v>55</v>
      </c>
      <c r="C32" s="3" t="s">
        <v>56</v>
      </c>
      <c r="D32" s="3"/>
      <c r="E32" s="8">
        <v>24.7</v>
      </c>
      <c r="F32" s="8">
        <v>25.3</v>
      </c>
      <c r="G32" s="8">
        <v>25.2</v>
      </c>
      <c r="H32" s="8">
        <v>25.5</v>
      </c>
      <c r="I32" s="8">
        <v>26.4</v>
      </c>
      <c r="J32" s="8">
        <v>26.7</v>
      </c>
      <c r="K32" s="8">
        <v>27.6</v>
      </c>
      <c r="L32" s="8">
        <v>29.2</v>
      </c>
      <c r="M32" s="8">
        <v>31.1</v>
      </c>
      <c r="N32" s="8">
        <v>32.200000000000003</v>
      </c>
      <c r="O32" s="8">
        <v>31.6</v>
      </c>
      <c r="P32" s="8">
        <v>31.5</v>
      </c>
      <c r="Q32" s="8">
        <v>31.6</v>
      </c>
      <c r="R32" s="8">
        <v>33.1</v>
      </c>
      <c r="S32" s="8">
        <v>33</v>
      </c>
      <c r="T32" s="8">
        <v>33.4</v>
      </c>
      <c r="U32" s="8">
        <v>32.915132016613008</v>
      </c>
      <c r="V32" s="8">
        <v>33.926556016817912</v>
      </c>
      <c r="W32" s="8">
        <v>33.992459973635107</v>
      </c>
      <c r="X32" s="8">
        <v>34.254076789649346</v>
      </c>
      <c r="Y32" s="8">
        <v>33.935795298827564</v>
      </c>
      <c r="Z32" s="8">
        <v>34.909059912889873</v>
      </c>
      <c r="AA32" s="8">
        <v>35.407340613971357</v>
      </c>
      <c r="AB32" s="8">
        <v>35.720543476238504</v>
      </c>
      <c r="AC32" s="8">
        <v>35.308018807284817</v>
      </c>
    </row>
    <row r="33" spans="1:29" x14ac:dyDescent="0.2">
      <c r="A33" s="7" t="s">
        <v>14</v>
      </c>
      <c r="B33" s="3"/>
      <c r="C33" s="3"/>
      <c r="D33" s="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7" t="s">
        <v>57</v>
      </c>
      <c r="B34" s="3"/>
      <c r="C34" s="3"/>
      <c r="D34" s="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7" t="s">
        <v>14</v>
      </c>
      <c r="B35" s="3"/>
      <c r="C35" s="3"/>
      <c r="D35" s="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">
      <c r="A36" s="7" t="s">
        <v>58</v>
      </c>
      <c r="B36" s="3"/>
      <c r="C36" s="3"/>
      <c r="D36" s="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">
      <c r="A37" s="7" t="s">
        <v>59</v>
      </c>
      <c r="B37" s="3" t="s">
        <v>60</v>
      </c>
      <c r="C37" s="3" t="s">
        <v>61</v>
      </c>
      <c r="D37" s="3"/>
      <c r="E37" s="8" t="s">
        <v>526</v>
      </c>
      <c r="F37" s="8">
        <v>8359</v>
      </c>
      <c r="G37" s="8" t="s">
        <v>526</v>
      </c>
      <c r="H37" s="8" t="s">
        <v>526</v>
      </c>
      <c r="I37" s="8" t="s">
        <v>526</v>
      </c>
      <c r="J37" s="8">
        <v>9123</v>
      </c>
      <c r="K37" s="8">
        <v>7721</v>
      </c>
      <c r="L37" s="8">
        <v>7372</v>
      </c>
      <c r="M37" s="8">
        <v>7242</v>
      </c>
      <c r="N37" s="8">
        <v>7691</v>
      </c>
      <c r="O37" s="8">
        <v>7258</v>
      </c>
      <c r="P37" s="8">
        <v>7309</v>
      </c>
      <c r="Q37" s="8">
        <v>7323</v>
      </c>
      <c r="R37" s="8">
        <v>7287</v>
      </c>
      <c r="S37" s="8">
        <v>7258</v>
      </c>
      <c r="T37" s="8">
        <v>7302</v>
      </c>
      <c r="U37" s="8" t="s">
        <v>526</v>
      </c>
      <c r="V37" s="8" t="s">
        <v>526</v>
      </c>
      <c r="W37" s="8" t="s">
        <v>526</v>
      </c>
      <c r="X37" s="8" t="s">
        <v>526</v>
      </c>
      <c r="Y37" s="8" t="s">
        <v>526</v>
      </c>
      <c r="Z37" s="8" t="s">
        <v>526</v>
      </c>
      <c r="AA37" s="8" t="s">
        <v>526</v>
      </c>
      <c r="AB37" s="8" t="s">
        <v>526</v>
      </c>
      <c r="AC37" s="8" t="s">
        <v>526</v>
      </c>
    </row>
    <row r="38" spans="1:29" x14ac:dyDescent="0.2">
      <c r="A38" s="7" t="s">
        <v>62</v>
      </c>
      <c r="B38" s="3" t="s">
        <v>63</v>
      </c>
      <c r="C38" s="3" t="s">
        <v>64</v>
      </c>
      <c r="D38" s="3"/>
      <c r="E38" s="8">
        <v>23000000</v>
      </c>
      <c r="F38" s="8">
        <v>33000000</v>
      </c>
      <c r="G38" s="8">
        <v>26000000</v>
      </c>
      <c r="H38" s="8">
        <v>36000000</v>
      </c>
      <c r="I38" s="8">
        <v>23000000</v>
      </c>
      <c r="J38" s="8">
        <v>28000000</v>
      </c>
      <c r="K38" s="8">
        <v>13000000</v>
      </c>
      <c r="L38" s="8">
        <v>11000000</v>
      </c>
      <c r="M38" s="8">
        <v>14000000</v>
      </c>
      <c r="N38" s="8">
        <v>35000000</v>
      </c>
      <c r="O38" s="8">
        <v>3000000</v>
      </c>
      <c r="P38" s="8">
        <v>8000000</v>
      </c>
      <c r="Q38" s="8">
        <v>14000000</v>
      </c>
      <c r="R38" s="8" t="s">
        <v>526</v>
      </c>
      <c r="S38" s="8">
        <v>3000000</v>
      </c>
      <c r="T38" s="8">
        <v>16000000</v>
      </c>
      <c r="U38" s="8">
        <v>10357357</v>
      </c>
      <c r="V38" s="8">
        <v>32216215</v>
      </c>
      <c r="W38" s="8">
        <v>9257360</v>
      </c>
      <c r="X38" s="8">
        <v>15129478</v>
      </c>
      <c r="Y38" s="8">
        <v>12060525</v>
      </c>
      <c r="Z38" s="8">
        <v>26634668</v>
      </c>
      <c r="AA38" s="8">
        <v>8525644</v>
      </c>
      <c r="AB38" s="8">
        <v>15477496</v>
      </c>
      <c r="AC38" s="8">
        <v>12227748</v>
      </c>
    </row>
    <row r="39" spans="1:29" x14ac:dyDescent="0.2">
      <c r="A39" s="7" t="s">
        <v>65</v>
      </c>
      <c r="B39" s="3" t="s">
        <v>66</v>
      </c>
      <c r="C39" s="3" t="s">
        <v>67</v>
      </c>
      <c r="D39" s="3" t="s">
        <v>30</v>
      </c>
      <c r="E39" s="8" t="s">
        <v>526</v>
      </c>
      <c r="F39" s="8" t="s">
        <v>526</v>
      </c>
      <c r="G39" s="8" t="s">
        <v>526</v>
      </c>
      <c r="H39" s="8" t="s">
        <v>526</v>
      </c>
      <c r="I39" s="8" t="s">
        <v>526</v>
      </c>
      <c r="J39" s="8" t="s">
        <v>526</v>
      </c>
      <c r="K39" s="8" t="s">
        <v>526</v>
      </c>
      <c r="L39" s="8" t="s">
        <v>526</v>
      </c>
      <c r="M39" s="8" t="s">
        <v>526</v>
      </c>
      <c r="N39" s="8" t="s">
        <v>526</v>
      </c>
      <c r="O39" s="8" t="s">
        <v>526</v>
      </c>
      <c r="P39" s="8" t="s">
        <v>526</v>
      </c>
      <c r="Q39" s="8" t="s">
        <v>526</v>
      </c>
      <c r="R39" s="8" t="s">
        <v>526</v>
      </c>
      <c r="S39" s="8" t="s">
        <v>526</v>
      </c>
      <c r="T39" s="8" t="s">
        <v>526</v>
      </c>
      <c r="U39" s="8">
        <v>61528.202524222841</v>
      </c>
      <c r="V39" s="8">
        <v>64533.568375134993</v>
      </c>
      <c r="W39" s="8" t="s">
        <v>526</v>
      </c>
      <c r="X39" s="8" t="s">
        <v>526</v>
      </c>
      <c r="Y39" s="8" t="s">
        <v>526</v>
      </c>
      <c r="Z39" s="8" t="s">
        <v>526</v>
      </c>
      <c r="AA39" s="8" t="s">
        <v>526</v>
      </c>
      <c r="AB39" s="8" t="s">
        <v>526</v>
      </c>
      <c r="AC39" s="8" t="s">
        <v>526</v>
      </c>
    </row>
    <row r="40" spans="1:29" x14ac:dyDescent="0.2">
      <c r="A40" s="7" t="s">
        <v>14</v>
      </c>
      <c r="B40" s="3"/>
      <c r="C40" s="3"/>
      <c r="D40" s="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">
      <c r="A41" s="7" t="s">
        <v>68</v>
      </c>
      <c r="B41" s="3" t="s">
        <v>69</v>
      </c>
      <c r="C41" s="3" t="s">
        <v>70</v>
      </c>
      <c r="D41" s="3" t="s">
        <v>19</v>
      </c>
      <c r="E41" s="8">
        <v>4</v>
      </c>
      <c r="F41" s="8" t="s">
        <v>526</v>
      </c>
      <c r="G41" s="8" t="s">
        <v>526</v>
      </c>
      <c r="H41" s="8" t="s">
        <v>526</v>
      </c>
      <c r="I41" s="8" t="s">
        <v>526</v>
      </c>
      <c r="J41" s="8" t="s">
        <v>526</v>
      </c>
      <c r="K41" s="8" t="s">
        <v>526</v>
      </c>
      <c r="L41" s="8" t="s">
        <v>526</v>
      </c>
      <c r="M41" s="8" t="s">
        <v>526</v>
      </c>
      <c r="N41" s="8" t="s">
        <v>526</v>
      </c>
      <c r="O41" s="8" t="s">
        <v>526</v>
      </c>
      <c r="P41" s="8" t="s">
        <v>526</v>
      </c>
      <c r="Q41" s="8" t="s">
        <v>526</v>
      </c>
      <c r="R41" s="8" t="s">
        <v>526</v>
      </c>
      <c r="S41" s="8" t="s">
        <v>526</v>
      </c>
      <c r="T41" s="8" t="s">
        <v>526</v>
      </c>
      <c r="U41" s="8">
        <v>2.536547697730775</v>
      </c>
      <c r="V41" s="8">
        <v>3.293066126031885</v>
      </c>
      <c r="W41" s="8">
        <v>2.0381584652618199</v>
      </c>
      <c r="X41" s="8">
        <v>2.5601240652984218</v>
      </c>
      <c r="Y41" s="8">
        <v>2.4394864530109386</v>
      </c>
      <c r="Z41" s="8">
        <v>2.8934577554644108</v>
      </c>
      <c r="AA41" s="8">
        <v>2.5877374916827569</v>
      </c>
      <c r="AB41" s="8">
        <v>3.0373690093513361</v>
      </c>
      <c r="AC41" s="8">
        <v>2.8201543888377643</v>
      </c>
    </row>
    <row r="42" spans="1:29" s="12" customFormat="1" x14ac:dyDescent="0.2">
      <c r="A42" s="9" t="s">
        <v>71</v>
      </c>
      <c r="B42" s="10" t="s">
        <v>72</v>
      </c>
      <c r="C42" s="10" t="s">
        <v>73</v>
      </c>
      <c r="D42" s="10"/>
      <c r="E42" s="11" t="s">
        <v>526</v>
      </c>
      <c r="F42" s="11" t="s">
        <v>526</v>
      </c>
      <c r="G42" s="11" t="s">
        <v>526</v>
      </c>
      <c r="H42" s="11" t="s">
        <v>526</v>
      </c>
      <c r="I42" s="11" t="s">
        <v>526</v>
      </c>
      <c r="J42" s="11" t="s">
        <v>526</v>
      </c>
      <c r="K42" s="11">
        <v>89.3</v>
      </c>
      <c r="L42" s="11">
        <v>88.02</v>
      </c>
      <c r="M42" s="11">
        <v>88.16</v>
      </c>
      <c r="N42" s="11">
        <v>87.34</v>
      </c>
      <c r="O42" s="11">
        <v>90</v>
      </c>
      <c r="P42" s="11">
        <v>89.2</v>
      </c>
      <c r="Q42" s="11">
        <v>89.6</v>
      </c>
      <c r="R42" s="11">
        <v>88.57</v>
      </c>
      <c r="S42" s="11">
        <v>91.51</v>
      </c>
      <c r="T42" s="11">
        <v>90.66</v>
      </c>
      <c r="U42" s="11" t="s">
        <v>526</v>
      </c>
      <c r="V42" s="11" t="s">
        <v>526</v>
      </c>
      <c r="W42" s="11" t="s">
        <v>526</v>
      </c>
      <c r="X42" s="11" t="s">
        <v>526</v>
      </c>
      <c r="Y42" s="11" t="s">
        <v>526</v>
      </c>
      <c r="Z42" s="11" t="s">
        <v>526</v>
      </c>
      <c r="AA42" s="11" t="s">
        <v>526</v>
      </c>
      <c r="AB42" s="11" t="s">
        <v>526</v>
      </c>
      <c r="AC42" s="11" t="s">
        <v>526</v>
      </c>
    </row>
    <row r="43" spans="1:29" x14ac:dyDescent="0.2">
      <c r="A43" s="7" t="s">
        <v>14</v>
      </c>
      <c r="B43" s="3"/>
      <c r="C43" s="3"/>
      <c r="D43" s="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">
      <c r="A44" s="7" t="s">
        <v>74</v>
      </c>
      <c r="B44" s="3" t="s">
        <v>75</v>
      </c>
      <c r="C44" s="3" t="s">
        <v>76</v>
      </c>
      <c r="D44" s="3" t="s">
        <v>19</v>
      </c>
      <c r="E44" s="8">
        <v>195</v>
      </c>
      <c r="F44" s="8">
        <v>205</v>
      </c>
      <c r="G44" s="8">
        <v>210</v>
      </c>
      <c r="H44" s="8">
        <v>220</v>
      </c>
      <c r="I44" s="8">
        <v>226</v>
      </c>
      <c r="J44" s="8">
        <v>236</v>
      </c>
      <c r="K44" s="8">
        <v>239</v>
      </c>
      <c r="L44" s="8">
        <v>246</v>
      </c>
      <c r="M44" s="8">
        <v>252</v>
      </c>
      <c r="N44" s="8">
        <v>263</v>
      </c>
      <c r="O44" s="8">
        <v>268</v>
      </c>
      <c r="P44" s="8">
        <v>276</v>
      </c>
      <c r="Q44" s="8">
        <v>281</v>
      </c>
      <c r="R44" s="8">
        <v>290</v>
      </c>
      <c r="S44" s="8">
        <v>293</v>
      </c>
      <c r="T44" s="8">
        <v>300</v>
      </c>
      <c r="U44" s="8">
        <v>301.57747620249359</v>
      </c>
      <c r="V44" s="8">
        <v>309.33204587741449</v>
      </c>
      <c r="W44" s="8">
        <v>315.32958903242417</v>
      </c>
      <c r="X44" s="8">
        <v>320.11083299046606</v>
      </c>
      <c r="Y44" s="8">
        <v>326.50098443457028</v>
      </c>
      <c r="Z44" s="8">
        <v>333.94075366201974</v>
      </c>
      <c r="AA44" s="8">
        <v>338.19109066649514</v>
      </c>
      <c r="AB44" s="8">
        <v>343.20450230512881</v>
      </c>
      <c r="AC44" s="8">
        <v>350.66168321621467</v>
      </c>
    </row>
    <row r="45" spans="1:29" x14ac:dyDescent="0.2">
      <c r="A45" s="7" t="s">
        <v>77</v>
      </c>
      <c r="B45" s="3" t="s">
        <v>78</v>
      </c>
      <c r="C45" s="3" t="s">
        <v>79</v>
      </c>
      <c r="D45" s="3" t="s">
        <v>19</v>
      </c>
      <c r="E45" s="8" t="s">
        <v>526</v>
      </c>
      <c r="F45" s="8" t="s">
        <v>526</v>
      </c>
      <c r="G45" s="8" t="s">
        <v>526</v>
      </c>
      <c r="H45" s="8" t="s">
        <v>526</v>
      </c>
      <c r="I45" s="8" t="s">
        <v>526</v>
      </c>
      <c r="J45" s="8" t="s">
        <v>526</v>
      </c>
      <c r="K45" s="8">
        <v>3</v>
      </c>
      <c r="L45" s="8">
        <v>7</v>
      </c>
      <c r="M45" s="8">
        <v>6</v>
      </c>
      <c r="N45" s="8">
        <v>4</v>
      </c>
      <c r="O45" s="8">
        <v>5</v>
      </c>
      <c r="P45" s="8">
        <v>8</v>
      </c>
      <c r="Q45" s="8">
        <v>5</v>
      </c>
      <c r="R45" s="8" t="s">
        <v>526</v>
      </c>
      <c r="S45" s="8">
        <v>3</v>
      </c>
      <c r="T45" s="8">
        <v>7</v>
      </c>
      <c r="U45" s="8">
        <v>5.063297750000002</v>
      </c>
      <c r="V45" s="8">
        <v>9.6226914510285333</v>
      </c>
      <c r="W45" s="8">
        <v>3.2770577959435894</v>
      </c>
      <c r="X45" s="8">
        <v>6.6549313617412631</v>
      </c>
      <c r="Y45" s="8">
        <v>5.3728456733612759</v>
      </c>
      <c r="Z45" s="8">
        <v>8.684751258288296</v>
      </c>
      <c r="AA45" s="8">
        <v>2.95825786250367</v>
      </c>
      <c r="AB45" s="8">
        <v>6.7071101826045076</v>
      </c>
      <c r="AC45" s="8">
        <v>5.3648661187135955</v>
      </c>
    </row>
    <row r="46" spans="1:29" x14ac:dyDescent="0.2">
      <c r="A46" s="7" t="s">
        <v>80</v>
      </c>
      <c r="B46" s="3" t="s">
        <v>75</v>
      </c>
      <c r="C46" s="3" t="s">
        <v>76</v>
      </c>
      <c r="D46" s="3" t="s">
        <v>81</v>
      </c>
      <c r="E46" s="8">
        <v>76</v>
      </c>
      <c r="F46" s="8">
        <v>80</v>
      </c>
      <c r="G46" s="8">
        <v>82</v>
      </c>
      <c r="H46" s="8">
        <v>86</v>
      </c>
      <c r="I46" s="8">
        <v>88.14</v>
      </c>
      <c r="J46" s="8">
        <v>89.68</v>
      </c>
      <c r="K46" s="8">
        <v>90.82</v>
      </c>
      <c r="L46" s="8">
        <v>94</v>
      </c>
      <c r="M46" s="8">
        <v>95.76</v>
      </c>
      <c r="N46" s="8">
        <v>97.31</v>
      </c>
      <c r="O46" s="8">
        <v>99.16</v>
      </c>
      <c r="P46" s="8">
        <v>102.12</v>
      </c>
      <c r="Q46" s="8">
        <v>103.97</v>
      </c>
      <c r="R46" s="8">
        <v>104.4</v>
      </c>
      <c r="S46" s="8">
        <v>105.48</v>
      </c>
      <c r="T46" s="8">
        <v>108</v>
      </c>
      <c r="U46" s="8">
        <v>109.31117</v>
      </c>
      <c r="V46" s="8">
        <v>111.17815207347182</v>
      </c>
      <c r="W46" s="8">
        <v>111.45652374204188</v>
      </c>
      <c r="X46" s="8">
        <v>113.35301770950079</v>
      </c>
      <c r="Y46" s="8">
        <v>114.65938069800787</v>
      </c>
      <c r="Z46" s="8">
        <v>116.67804581874715</v>
      </c>
      <c r="AA46" s="8">
        <v>119.95126960094231</v>
      </c>
      <c r="AB46" s="8">
        <v>121.84064750673809</v>
      </c>
      <c r="AC46" s="8">
        <v>123.32865390350894</v>
      </c>
    </row>
    <row r="47" spans="1:29" x14ac:dyDescent="0.2">
      <c r="A47" s="7" t="s">
        <v>82</v>
      </c>
      <c r="B47" s="3" t="s">
        <v>83</v>
      </c>
      <c r="C47" s="3" t="s">
        <v>84</v>
      </c>
      <c r="D47" s="3" t="s">
        <v>81</v>
      </c>
      <c r="E47" s="8">
        <v>39</v>
      </c>
      <c r="F47" s="8">
        <v>39</v>
      </c>
      <c r="G47" s="8">
        <v>39</v>
      </c>
      <c r="H47" s="8">
        <v>39</v>
      </c>
      <c r="I47" s="8">
        <v>39</v>
      </c>
      <c r="J47" s="8">
        <v>38</v>
      </c>
      <c r="K47" s="8">
        <v>38</v>
      </c>
      <c r="L47" s="8">
        <v>38</v>
      </c>
      <c r="M47" s="8">
        <v>38</v>
      </c>
      <c r="N47" s="8">
        <v>27</v>
      </c>
      <c r="O47" s="8">
        <v>37</v>
      </c>
      <c r="P47" s="8">
        <v>37</v>
      </c>
      <c r="Q47" s="8">
        <v>37</v>
      </c>
      <c r="R47" s="8">
        <v>26</v>
      </c>
      <c r="S47" s="8">
        <v>36</v>
      </c>
      <c r="T47" s="8">
        <v>36</v>
      </c>
      <c r="U47" s="8">
        <v>35.689503002252309</v>
      </c>
      <c r="V47" s="8">
        <v>35.226784144051997</v>
      </c>
      <c r="W47" s="8">
        <v>34.840157949504452</v>
      </c>
      <c r="X47" s="8">
        <v>34.698017349844676</v>
      </c>
      <c r="Y47" s="8">
        <v>34.468026862764106</v>
      </c>
      <c r="Z47" s="8">
        <v>34.226554057523956</v>
      </c>
      <c r="AA47" s="8">
        <v>34.918870465494194</v>
      </c>
      <c r="AB47" s="8">
        <v>34.793269799752586</v>
      </c>
      <c r="AC47" s="8">
        <v>34.708921024101627</v>
      </c>
    </row>
    <row r="48" spans="1:29" x14ac:dyDescent="0.2">
      <c r="A48" s="7" t="s">
        <v>85</v>
      </c>
      <c r="B48" s="3" t="s">
        <v>75</v>
      </c>
      <c r="C48" s="3" t="s">
        <v>76</v>
      </c>
      <c r="D48" s="3" t="s">
        <v>86</v>
      </c>
      <c r="E48" s="8">
        <v>55</v>
      </c>
      <c r="F48" s="8">
        <v>57</v>
      </c>
      <c r="G48" s="8">
        <v>59</v>
      </c>
      <c r="H48" s="8">
        <v>62</v>
      </c>
      <c r="I48" s="8">
        <v>61.02</v>
      </c>
      <c r="J48" s="8">
        <v>63.72</v>
      </c>
      <c r="K48" s="8">
        <v>64.53</v>
      </c>
      <c r="L48" s="8">
        <v>66</v>
      </c>
      <c r="M48" s="8">
        <v>68.040000000000006</v>
      </c>
      <c r="N48" s="8">
        <v>68.38</v>
      </c>
      <c r="O48" s="8">
        <v>69.680000000000007</v>
      </c>
      <c r="P48" s="8">
        <v>69</v>
      </c>
      <c r="Q48" s="8">
        <v>70.25</v>
      </c>
      <c r="R48" s="8">
        <v>72.5</v>
      </c>
      <c r="S48" s="8">
        <v>73.25</v>
      </c>
      <c r="T48" s="8">
        <v>75</v>
      </c>
      <c r="U48" s="8">
        <v>75.613032772991374</v>
      </c>
      <c r="V48" s="8">
        <v>77.142254219115003</v>
      </c>
      <c r="W48" s="8">
        <v>77.665858456908268</v>
      </c>
      <c r="X48" s="8">
        <v>78.90657585201113</v>
      </c>
      <c r="Y48" s="8">
        <v>79.4749799800841</v>
      </c>
      <c r="Z48" s="8">
        <v>81.222796794957176</v>
      </c>
      <c r="AA48" s="8">
        <v>82.422144349606398</v>
      </c>
      <c r="AB48" s="8">
        <v>83.527570973107203</v>
      </c>
      <c r="AC48" s="8">
        <v>84.469126125684056</v>
      </c>
    </row>
    <row r="49" spans="1:29" x14ac:dyDescent="0.2">
      <c r="A49" s="7" t="s">
        <v>82</v>
      </c>
      <c r="B49" s="3" t="s">
        <v>83</v>
      </c>
      <c r="C49" s="3" t="s">
        <v>84</v>
      </c>
      <c r="D49" s="3" t="s">
        <v>86</v>
      </c>
      <c r="E49" s="8">
        <v>28</v>
      </c>
      <c r="F49" s="8">
        <v>28</v>
      </c>
      <c r="G49" s="8">
        <v>28</v>
      </c>
      <c r="H49" s="8">
        <v>28</v>
      </c>
      <c r="I49" s="8">
        <v>27</v>
      </c>
      <c r="J49" s="8">
        <v>27</v>
      </c>
      <c r="K49" s="8">
        <v>27</v>
      </c>
      <c r="L49" s="8">
        <v>27</v>
      </c>
      <c r="M49" s="8">
        <v>27</v>
      </c>
      <c r="N49" s="8">
        <v>17</v>
      </c>
      <c r="O49" s="8">
        <v>26</v>
      </c>
      <c r="P49" s="8">
        <v>25</v>
      </c>
      <c r="Q49" s="8">
        <v>25</v>
      </c>
      <c r="R49" s="8">
        <v>16</v>
      </c>
      <c r="S49" s="8">
        <v>25</v>
      </c>
      <c r="T49" s="8">
        <v>25</v>
      </c>
      <c r="U49" s="8">
        <v>24.822800413106776</v>
      </c>
      <c r="V49" s="8">
        <v>24.532722178512522</v>
      </c>
      <c r="W49" s="8">
        <v>24.381499423253693</v>
      </c>
      <c r="X49" s="8">
        <v>24.205216323173612</v>
      </c>
      <c r="Y49" s="8">
        <v>24.09521111752429</v>
      </c>
      <c r="Z49" s="8">
        <v>23.903519514299749</v>
      </c>
      <c r="AA49" s="8">
        <v>23.99360436493145</v>
      </c>
      <c r="AB49" s="8">
        <v>23.852614550118673</v>
      </c>
      <c r="AC49" s="8">
        <v>23.772427187108001</v>
      </c>
    </row>
    <row r="50" spans="1:29" x14ac:dyDescent="0.2">
      <c r="A50" s="7" t="s">
        <v>87</v>
      </c>
      <c r="B50" s="3" t="s">
        <v>75</v>
      </c>
      <c r="C50" s="3" t="s">
        <v>76</v>
      </c>
      <c r="D50" s="3" t="s">
        <v>88</v>
      </c>
      <c r="E50" s="8">
        <v>41</v>
      </c>
      <c r="F50" s="8">
        <v>43</v>
      </c>
      <c r="G50" s="8">
        <v>44</v>
      </c>
      <c r="H50" s="8">
        <v>46</v>
      </c>
      <c r="I50" s="8">
        <v>47.46</v>
      </c>
      <c r="J50" s="8">
        <v>51.92</v>
      </c>
      <c r="K50" s="8">
        <v>52.58</v>
      </c>
      <c r="L50" s="8">
        <v>54</v>
      </c>
      <c r="M50" s="8">
        <v>55.44</v>
      </c>
      <c r="N50" s="8">
        <v>57.86</v>
      </c>
      <c r="O50" s="8">
        <v>61.64</v>
      </c>
      <c r="P50" s="8">
        <v>63.48</v>
      </c>
      <c r="Q50" s="8">
        <v>64.63</v>
      </c>
      <c r="R50" s="8">
        <v>66.7</v>
      </c>
      <c r="S50" s="8">
        <v>70.319999999999993</v>
      </c>
      <c r="T50" s="8">
        <v>72</v>
      </c>
      <c r="U50" s="8">
        <v>72.917552902907332</v>
      </c>
      <c r="V50" s="8">
        <v>75.422886983333385</v>
      </c>
      <c r="W50" s="8">
        <v>77.351638157489035</v>
      </c>
      <c r="X50" s="8">
        <v>78.964871177455763</v>
      </c>
      <c r="Y50" s="8">
        <v>80.575793016495069</v>
      </c>
      <c r="Z50" s="8">
        <v>83.153923714439671</v>
      </c>
      <c r="AA50" s="8">
        <v>83.002150741805693</v>
      </c>
      <c r="AB50" s="8">
        <v>84.512387828828054</v>
      </c>
      <c r="AC50" s="8">
        <v>85.671477098359134</v>
      </c>
    </row>
    <row r="51" spans="1:29" x14ac:dyDescent="0.2">
      <c r="A51" s="7" t="s">
        <v>82</v>
      </c>
      <c r="B51" s="3" t="s">
        <v>83</v>
      </c>
      <c r="C51" s="3" t="s">
        <v>84</v>
      </c>
      <c r="D51" s="3" t="s">
        <v>88</v>
      </c>
      <c r="E51" s="8">
        <v>21</v>
      </c>
      <c r="F51" s="8">
        <v>21</v>
      </c>
      <c r="G51" s="8">
        <v>21</v>
      </c>
      <c r="H51" s="8">
        <v>21</v>
      </c>
      <c r="I51" s="8">
        <v>21</v>
      </c>
      <c r="J51" s="8">
        <v>22</v>
      </c>
      <c r="K51" s="8">
        <v>22</v>
      </c>
      <c r="L51" s="8">
        <v>22</v>
      </c>
      <c r="M51" s="8">
        <v>22</v>
      </c>
      <c r="N51" s="8">
        <v>22</v>
      </c>
      <c r="O51" s="8">
        <v>23</v>
      </c>
      <c r="P51" s="8">
        <v>23</v>
      </c>
      <c r="Q51" s="8">
        <v>24</v>
      </c>
      <c r="R51" s="8">
        <v>21</v>
      </c>
      <c r="S51" s="8">
        <v>24</v>
      </c>
      <c r="T51" s="8">
        <v>24</v>
      </c>
      <c r="U51" s="8">
        <v>22.455027976069339</v>
      </c>
      <c r="V51" s="8">
        <v>22.487633750087127</v>
      </c>
      <c r="W51" s="8">
        <v>22.490313933058861</v>
      </c>
      <c r="X51" s="8">
        <v>22.343894313098446</v>
      </c>
      <c r="Y51" s="8">
        <v>22.348827755675948</v>
      </c>
      <c r="Z51" s="8">
        <v>22.482710970498651</v>
      </c>
      <c r="AA51" s="8">
        <v>22.627855516670234</v>
      </c>
      <c r="AB51" s="8">
        <v>22.591316655927002</v>
      </c>
      <c r="AC51" s="8">
        <v>22.602347947235359</v>
      </c>
    </row>
    <row r="52" spans="1:29" x14ac:dyDescent="0.2">
      <c r="A52" s="7" t="s">
        <v>89</v>
      </c>
      <c r="B52" s="3" t="s">
        <v>75</v>
      </c>
      <c r="C52" s="3" t="s">
        <v>76</v>
      </c>
      <c r="D52" s="3" t="s">
        <v>90</v>
      </c>
      <c r="E52" s="8">
        <v>23</v>
      </c>
      <c r="F52" s="8">
        <v>25</v>
      </c>
      <c r="G52" s="8">
        <v>25</v>
      </c>
      <c r="H52" s="8">
        <v>26</v>
      </c>
      <c r="I52" s="8">
        <v>29.38</v>
      </c>
      <c r="J52" s="8">
        <v>30.68</v>
      </c>
      <c r="K52" s="8">
        <v>31.07</v>
      </c>
      <c r="L52" s="8">
        <v>32</v>
      </c>
      <c r="M52" s="8">
        <v>35.28</v>
      </c>
      <c r="N52" s="8">
        <v>36.82</v>
      </c>
      <c r="O52" s="8">
        <v>37.520000000000003</v>
      </c>
      <c r="P52" s="8">
        <v>41.4</v>
      </c>
      <c r="Q52" s="8">
        <v>39.340000000000003</v>
      </c>
      <c r="R52" s="8">
        <v>43.5</v>
      </c>
      <c r="S52" s="8">
        <v>43.95</v>
      </c>
      <c r="T52" s="8">
        <v>45</v>
      </c>
      <c r="U52" s="8">
        <v>47.287348952403072</v>
      </c>
      <c r="V52" s="8">
        <v>51.354575856403784</v>
      </c>
      <c r="W52" s="8">
        <v>52.191030733222725</v>
      </c>
      <c r="X52" s="8">
        <v>54.341427572367273</v>
      </c>
      <c r="Y52" s="8">
        <v>56.428216216340175</v>
      </c>
      <c r="Z52" s="8">
        <v>59.145724305082403</v>
      </c>
      <c r="AA52" s="8">
        <v>58.165202225417062</v>
      </c>
      <c r="AB52" s="8">
        <v>60.334663486484175</v>
      </c>
      <c r="AC52" s="8">
        <v>61.885931295077427</v>
      </c>
    </row>
    <row r="53" spans="1:29" x14ac:dyDescent="0.2">
      <c r="A53" s="7" t="s">
        <v>82</v>
      </c>
      <c r="B53" s="3" t="s">
        <v>83</v>
      </c>
      <c r="C53" s="3" t="s">
        <v>84</v>
      </c>
      <c r="D53" s="3" t="s">
        <v>90</v>
      </c>
      <c r="E53" s="8">
        <v>12</v>
      </c>
      <c r="F53" s="8">
        <v>12</v>
      </c>
      <c r="G53" s="8">
        <v>12</v>
      </c>
      <c r="H53" s="8">
        <v>12</v>
      </c>
      <c r="I53" s="8">
        <v>13</v>
      </c>
      <c r="J53" s="8">
        <v>13</v>
      </c>
      <c r="K53" s="8">
        <v>13</v>
      </c>
      <c r="L53" s="8">
        <v>13</v>
      </c>
      <c r="M53" s="8">
        <v>14</v>
      </c>
      <c r="N53" s="8">
        <v>34</v>
      </c>
      <c r="O53" s="8">
        <v>14</v>
      </c>
      <c r="P53" s="8">
        <v>14</v>
      </c>
      <c r="Q53" s="8">
        <v>14</v>
      </c>
      <c r="R53" s="8">
        <v>37</v>
      </c>
      <c r="S53" s="8">
        <v>15</v>
      </c>
      <c r="T53" s="8">
        <v>15</v>
      </c>
      <c r="U53" s="8">
        <v>15.625264079259486</v>
      </c>
      <c r="V53" s="8">
        <v>16.332858958876912</v>
      </c>
      <c r="W53" s="8">
        <v>16.537300356455855</v>
      </c>
      <c r="X53" s="8">
        <v>16.89467712495766</v>
      </c>
      <c r="Y53" s="8">
        <v>17.379544528725933</v>
      </c>
      <c r="Z53" s="8">
        <v>17.560724722670582</v>
      </c>
      <c r="AA53" s="8">
        <v>16.93171211453274</v>
      </c>
      <c r="AB53" s="8">
        <v>17.228371785840576</v>
      </c>
      <c r="AC53" s="8">
        <v>17.416121764386968</v>
      </c>
    </row>
    <row r="54" spans="1:29" x14ac:dyDescent="0.2">
      <c r="A54" s="7" t="s">
        <v>14</v>
      </c>
      <c r="B54" s="3"/>
      <c r="C54" s="3"/>
      <c r="D54" s="3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">
      <c r="A55" s="7" t="s">
        <v>91</v>
      </c>
      <c r="B55" s="3"/>
      <c r="C55" s="3"/>
      <c r="D55" s="3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s="12" customFormat="1" x14ac:dyDescent="0.2">
      <c r="A56" s="9" t="s">
        <v>92</v>
      </c>
      <c r="B56" s="10" t="s">
        <v>93</v>
      </c>
      <c r="C56" s="10" t="s">
        <v>94</v>
      </c>
      <c r="D56" s="10"/>
      <c r="E56" s="11">
        <v>20</v>
      </c>
      <c r="F56" s="11">
        <v>20</v>
      </c>
      <c r="G56" s="11">
        <v>22</v>
      </c>
      <c r="H56" s="11">
        <v>27</v>
      </c>
      <c r="I56" s="11">
        <v>26</v>
      </c>
      <c r="J56" s="11">
        <v>23</v>
      </c>
      <c r="K56" s="11">
        <v>19</v>
      </c>
      <c r="L56" s="11">
        <v>14</v>
      </c>
      <c r="M56" s="11">
        <v>11</v>
      </c>
      <c r="N56" s="11">
        <v>12</v>
      </c>
      <c r="O56" s="11">
        <v>10</v>
      </c>
      <c r="P56" s="11">
        <v>11</v>
      </c>
      <c r="Q56" s="11">
        <v>11</v>
      </c>
      <c r="R56" s="11">
        <v>11</v>
      </c>
      <c r="S56" s="11">
        <v>12</v>
      </c>
      <c r="T56" s="11">
        <v>12</v>
      </c>
      <c r="U56" s="11">
        <v>10.678180808023768</v>
      </c>
      <c r="V56" s="11">
        <v>9.2906072035582454</v>
      </c>
      <c r="W56" s="11">
        <v>8.8252321318463114</v>
      </c>
      <c r="X56" s="11">
        <v>8.5295246629860362</v>
      </c>
      <c r="Y56" s="11">
        <v>8.6989334804312275</v>
      </c>
      <c r="Z56" s="11">
        <v>7.927793970166455</v>
      </c>
      <c r="AA56" s="11">
        <v>7.6578604386235254</v>
      </c>
      <c r="AB56" s="11">
        <v>7.4898977610379101</v>
      </c>
      <c r="AC56" s="11">
        <v>7.3620561196848602</v>
      </c>
    </row>
    <row r="57" spans="1:29" x14ac:dyDescent="0.2">
      <c r="A57" s="7" t="s">
        <v>95</v>
      </c>
      <c r="B57" s="3" t="s">
        <v>32</v>
      </c>
      <c r="C57" s="3" t="s">
        <v>33</v>
      </c>
      <c r="D57" s="3" t="s">
        <v>19</v>
      </c>
      <c r="E57" s="8">
        <v>195</v>
      </c>
      <c r="F57" s="8">
        <v>205</v>
      </c>
      <c r="G57" s="8">
        <v>210</v>
      </c>
      <c r="H57" s="8">
        <v>220</v>
      </c>
      <c r="I57" s="8">
        <v>226</v>
      </c>
      <c r="J57" s="8">
        <v>236</v>
      </c>
      <c r="K57" s="8">
        <v>239</v>
      </c>
      <c r="L57" s="8">
        <v>246</v>
      </c>
      <c r="M57" s="8">
        <v>252</v>
      </c>
      <c r="N57" s="8">
        <v>263</v>
      </c>
      <c r="O57" s="8">
        <v>268</v>
      </c>
      <c r="P57" s="8">
        <v>276</v>
      </c>
      <c r="Q57" s="8">
        <v>281</v>
      </c>
      <c r="R57" s="8">
        <v>290</v>
      </c>
      <c r="S57" s="8">
        <v>293</v>
      </c>
      <c r="T57" s="8">
        <v>300</v>
      </c>
      <c r="U57" s="8">
        <v>305.14249065217393</v>
      </c>
      <c r="V57" s="8">
        <v>315.05755756611177</v>
      </c>
      <c r="W57" s="8">
        <v>318.26999647815404</v>
      </c>
      <c r="X57" s="8">
        <v>324.88651685117429</v>
      </c>
      <c r="Y57" s="8">
        <v>330.39893990778029</v>
      </c>
      <c r="Z57" s="8">
        <v>339.46501515625636</v>
      </c>
      <c r="AA57" s="8">
        <v>342.94115825897774</v>
      </c>
      <c r="AB57" s="8">
        <v>349.30328535427134</v>
      </c>
      <c r="AC57" s="8">
        <v>354.94013117031159</v>
      </c>
    </row>
    <row r="58" spans="1:29" x14ac:dyDescent="0.2">
      <c r="A58" s="7" t="s">
        <v>35</v>
      </c>
      <c r="B58" s="3" t="s">
        <v>32</v>
      </c>
      <c r="C58" s="3" t="s">
        <v>33</v>
      </c>
      <c r="D58" s="3" t="s">
        <v>30</v>
      </c>
      <c r="E58" s="8">
        <v>273</v>
      </c>
      <c r="F58" s="8">
        <v>295</v>
      </c>
      <c r="G58" s="8">
        <v>317</v>
      </c>
      <c r="H58" s="8">
        <v>343</v>
      </c>
      <c r="I58" s="8">
        <v>361</v>
      </c>
      <c r="J58" s="8">
        <v>379</v>
      </c>
      <c r="K58" s="8">
        <v>388</v>
      </c>
      <c r="L58" s="8">
        <v>393</v>
      </c>
      <c r="M58" s="8">
        <v>402</v>
      </c>
      <c r="N58" s="8">
        <v>425</v>
      </c>
      <c r="O58" s="8">
        <v>423</v>
      </c>
      <c r="P58" s="8">
        <v>433</v>
      </c>
      <c r="Q58" s="8">
        <v>446</v>
      </c>
      <c r="R58" s="8">
        <v>476</v>
      </c>
      <c r="S58" s="8">
        <v>483</v>
      </c>
      <c r="T58" s="8">
        <v>494</v>
      </c>
      <c r="U58" s="8">
        <v>498.21079127922343</v>
      </c>
      <c r="V58" s="8">
        <v>519.97266830689853</v>
      </c>
      <c r="W58" s="8">
        <v>524.39584212261059</v>
      </c>
      <c r="X58" s="8">
        <v>533.6307043065716</v>
      </c>
      <c r="Y58" s="8">
        <v>540.89822088028984</v>
      </c>
      <c r="Z58" s="8">
        <v>560.63097760929043</v>
      </c>
      <c r="AA58" s="8">
        <v>564.04149114327026</v>
      </c>
      <c r="AB58" s="8">
        <v>573.03019980855493</v>
      </c>
      <c r="AC58" s="8">
        <v>579.83875203753246</v>
      </c>
    </row>
    <row r="59" spans="1:29" x14ac:dyDescent="0.2">
      <c r="A59" s="7" t="s">
        <v>14</v>
      </c>
      <c r="B59" s="3"/>
      <c r="C59" s="3"/>
      <c r="D59" s="3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">
      <c r="A60" s="7" t="s">
        <v>31</v>
      </c>
      <c r="B60" s="3" t="s">
        <v>32</v>
      </c>
      <c r="C60" s="3" t="s">
        <v>33</v>
      </c>
      <c r="D60" s="3"/>
      <c r="E60" s="8">
        <v>456</v>
      </c>
      <c r="F60" s="8">
        <v>489</v>
      </c>
      <c r="G60" s="8">
        <v>515</v>
      </c>
      <c r="H60" s="8">
        <v>551</v>
      </c>
      <c r="I60" s="8">
        <v>574</v>
      </c>
      <c r="J60" s="8">
        <v>602</v>
      </c>
      <c r="K60" s="8">
        <v>615</v>
      </c>
      <c r="L60" s="8">
        <v>626</v>
      </c>
      <c r="M60" s="8">
        <v>640</v>
      </c>
      <c r="N60" s="8">
        <v>675</v>
      </c>
      <c r="O60" s="8">
        <v>678</v>
      </c>
      <c r="P60" s="8">
        <v>696</v>
      </c>
      <c r="Q60" s="8">
        <v>713</v>
      </c>
      <c r="R60" s="8">
        <v>751</v>
      </c>
      <c r="S60" s="8">
        <v>761</v>
      </c>
      <c r="T60" s="8">
        <v>777</v>
      </c>
      <c r="U60" s="8">
        <v>787.78585298454118</v>
      </c>
      <c r="V60" s="8">
        <v>819.85270581567056</v>
      </c>
      <c r="W60" s="8">
        <v>828.11553307649149</v>
      </c>
      <c r="X60" s="8">
        <v>843.63673296628315</v>
      </c>
      <c r="Y60" s="8">
        <v>857.08685143663718</v>
      </c>
      <c r="Z60" s="8">
        <v>885.48595693510947</v>
      </c>
      <c r="AA60" s="8">
        <v>889.33333759636855</v>
      </c>
      <c r="AB60" s="8">
        <v>905.00228874794277</v>
      </c>
      <c r="AC60" s="8">
        <v>918.55207214665427</v>
      </c>
    </row>
    <row r="61" spans="1:29" x14ac:dyDescent="0.2">
      <c r="A61" s="7" t="s">
        <v>80</v>
      </c>
      <c r="B61" s="3" t="s">
        <v>32</v>
      </c>
      <c r="C61" s="3" t="s">
        <v>33</v>
      </c>
      <c r="D61" s="3" t="s">
        <v>81</v>
      </c>
      <c r="E61" s="8">
        <v>141</v>
      </c>
      <c r="F61" s="8">
        <v>146.69999999999999</v>
      </c>
      <c r="G61" s="8">
        <v>155</v>
      </c>
      <c r="H61" s="8">
        <v>160</v>
      </c>
      <c r="I61" s="8">
        <v>160.72</v>
      </c>
      <c r="J61" s="8">
        <v>168.56</v>
      </c>
      <c r="K61" s="8">
        <v>172.2</v>
      </c>
      <c r="L61" s="8">
        <v>174</v>
      </c>
      <c r="M61" s="8">
        <v>176.58</v>
      </c>
      <c r="N61" s="8">
        <v>182.25</v>
      </c>
      <c r="O61" s="8">
        <v>183.06</v>
      </c>
      <c r="P61" s="8">
        <v>180.96</v>
      </c>
      <c r="Q61" s="8">
        <v>185.38</v>
      </c>
      <c r="R61" s="8">
        <v>199.16</v>
      </c>
      <c r="S61" s="8">
        <v>205.25</v>
      </c>
      <c r="T61" s="8">
        <v>194.25</v>
      </c>
      <c r="U61" s="8">
        <v>196.47390095056267</v>
      </c>
      <c r="V61" s="8">
        <v>203.57457704041045</v>
      </c>
      <c r="W61" s="8">
        <v>203.28332605613795</v>
      </c>
      <c r="X61" s="8">
        <v>206.67947281428786</v>
      </c>
      <c r="Y61" s="8">
        <v>209.54635166547394</v>
      </c>
      <c r="Z61" s="8">
        <v>215.06777330724847</v>
      </c>
      <c r="AA61" s="8">
        <v>217.16480216625038</v>
      </c>
      <c r="AB61" s="8">
        <v>220.6577948761892</v>
      </c>
      <c r="AC61" s="8">
        <v>223.99527137950184</v>
      </c>
    </row>
    <row r="62" spans="1:29" x14ac:dyDescent="0.2">
      <c r="A62" s="7" t="s">
        <v>96</v>
      </c>
      <c r="B62" s="3" t="s">
        <v>97</v>
      </c>
      <c r="C62" s="3" t="s">
        <v>98</v>
      </c>
      <c r="D62" s="3" t="s">
        <v>81</v>
      </c>
      <c r="E62" s="8" t="s">
        <v>526</v>
      </c>
      <c r="F62" s="8" t="s">
        <v>526</v>
      </c>
      <c r="G62" s="8" t="s">
        <v>526</v>
      </c>
      <c r="H62" s="8" t="s">
        <v>526</v>
      </c>
      <c r="I62" s="8" t="s">
        <v>526</v>
      </c>
      <c r="J62" s="8" t="s">
        <v>526</v>
      </c>
      <c r="K62" s="8" t="s">
        <v>526</v>
      </c>
      <c r="L62" s="8">
        <v>3000</v>
      </c>
      <c r="M62" s="8">
        <v>-1000</v>
      </c>
      <c r="N62" s="8" t="s">
        <v>526</v>
      </c>
      <c r="O62" s="8" t="s">
        <v>526</v>
      </c>
      <c r="P62" s="8" t="s">
        <v>526</v>
      </c>
      <c r="Q62" s="8" t="s">
        <v>526</v>
      </c>
      <c r="R62" s="8" t="s">
        <v>526</v>
      </c>
      <c r="S62" s="8" t="s">
        <v>526</v>
      </c>
      <c r="T62" s="8" t="s">
        <v>526</v>
      </c>
      <c r="U62" s="8">
        <v>1954.7249999999999</v>
      </c>
      <c r="V62" s="8">
        <v>7081.192</v>
      </c>
      <c r="W62" s="8">
        <v>-153.624</v>
      </c>
      <c r="X62" s="8">
        <v>2511.4960000000001</v>
      </c>
      <c r="Y62" s="8">
        <v>2143.395</v>
      </c>
      <c r="Z62" s="8">
        <v>3935.8270000000002</v>
      </c>
      <c r="AA62" s="8">
        <v>-1377.4269999999999</v>
      </c>
      <c r="AB62" s="8">
        <v>2500.8290000000002</v>
      </c>
      <c r="AC62" s="8">
        <v>2023.126</v>
      </c>
    </row>
    <row r="63" spans="1:29" x14ac:dyDescent="0.2">
      <c r="A63" s="7" t="s">
        <v>99</v>
      </c>
      <c r="B63" s="3" t="s">
        <v>78</v>
      </c>
      <c r="C63" s="3" t="s">
        <v>79</v>
      </c>
      <c r="D63" s="3" t="s">
        <v>81</v>
      </c>
      <c r="E63" s="8" t="s">
        <v>526</v>
      </c>
      <c r="F63" s="8" t="s">
        <v>526</v>
      </c>
      <c r="G63" s="8" t="s">
        <v>526</v>
      </c>
      <c r="H63" s="8" t="s">
        <v>526</v>
      </c>
      <c r="I63" s="8" t="s">
        <v>526</v>
      </c>
      <c r="J63" s="8" t="s">
        <v>526</v>
      </c>
      <c r="K63" s="8" t="s">
        <v>526</v>
      </c>
      <c r="L63" s="8" t="s">
        <v>526</v>
      </c>
      <c r="M63" s="8" t="s">
        <v>526</v>
      </c>
      <c r="N63" s="8" t="s">
        <v>526</v>
      </c>
      <c r="O63" s="8" t="s">
        <v>526</v>
      </c>
      <c r="P63" s="8" t="s">
        <v>526</v>
      </c>
      <c r="Q63" s="8" t="s">
        <v>526</v>
      </c>
      <c r="R63" s="8" t="s">
        <v>526</v>
      </c>
      <c r="S63" s="8" t="s">
        <v>526</v>
      </c>
      <c r="T63" s="8" t="s">
        <v>526</v>
      </c>
      <c r="U63" s="8">
        <v>1.4544444444444449</v>
      </c>
      <c r="V63" s="8">
        <v>2.21179344762283</v>
      </c>
      <c r="W63" s="8">
        <v>1.0978131556425341</v>
      </c>
      <c r="X63" s="8">
        <v>1.962491455149693</v>
      </c>
      <c r="Y63" s="8">
        <v>1.4472354796311233</v>
      </c>
      <c r="Z63" s="8">
        <v>2.2226372267335406</v>
      </c>
      <c r="AA63" s="8">
        <v>1.0113773276770228</v>
      </c>
      <c r="AB63" s="8">
        <v>1.8893779057957818</v>
      </c>
      <c r="AC63" s="8">
        <v>1.4880063967708406</v>
      </c>
    </row>
    <row r="64" spans="1:29" x14ac:dyDescent="0.2">
      <c r="A64" s="7" t="s">
        <v>85</v>
      </c>
      <c r="B64" s="3" t="s">
        <v>32</v>
      </c>
      <c r="C64" s="3" t="s">
        <v>33</v>
      </c>
      <c r="D64" s="3" t="s">
        <v>86</v>
      </c>
      <c r="E64" s="8">
        <v>100</v>
      </c>
      <c r="F64" s="8">
        <v>102.69</v>
      </c>
      <c r="G64" s="8">
        <v>103</v>
      </c>
      <c r="H64" s="8">
        <v>110</v>
      </c>
      <c r="I64" s="8">
        <v>109.06</v>
      </c>
      <c r="J64" s="8">
        <v>114.38</v>
      </c>
      <c r="K64" s="8">
        <v>110.7</v>
      </c>
      <c r="L64" s="8">
        <v>112</v>
      </c>
      <c r="M64" s="8">
        <v>117.72</v>
      </c>
      <c r="N64" s="8">
        <v>114.75</v>
      </c>
      <c r="O64" s="8">
        <v>115.26</v>
      </c>
      <c r="P64" s="8">
        <v>118.32</v>
      </c>
      <c r="Q64" s="8">
        <v>121.21</v>
      </c>
      <c r="R64" s="8">
        <v>122.56</v>
      </c>
      <c r="S64" s="8">
        <v>121.76</v>
      </c>
      <c r="T64" s="8">
        <v>124.32</v>
      </c>
      <c r="U64" s="8">
        <v>126.04105777836465</v>
      </c>
      <c r="V64" s="8">
        <v>127.90078676787311</v>
      </c>
      <c r="W64" s="8">
        <v>129.11531398547973</v>
      </c>
      <c r="X64" s="8">
        <v>130.60572472991478</v>
      </c>
      <c r="Y64" s="8">
        <v>131.6287037636472</v>
      </c>
      <c r="Z64" s="8">
        <v>133.7392171868515</v>
      </c>
      <c r="AA64" s="8">
        <v>138.69402497699835</v>
      </c>
      <c r="AB64" s="8">
        <v>140.29731968179428</v>
      </c>
      <c r="AC64" s="8">
        <v>142.01416035693342</v>
      </c>
    </row>
    <row r="65" spans="1:29" x14ac:dyDescent="0.2">
      <c r="A65" s="7" t="s">
        <v>96</v>
      </c>
      <c r="B65" s="3" t="s">
        <v>97</v>
      </c>
      <c r="C65" s="3" t="s">
        <v>98</v>
      </c>
      <c r="D65" s="3" t="s">
        <v>86</v>
      </c>
      <c r="E65" s="8" t="s">
        <v>526</v>
      </c>
      <c r="F65" s="8" t="s">
        <v>526</v>
      </c>
      <c r="G65" s="8" t="s">
        <v>526</v>
      </c>
      <c r="H65" s="8" t="s">
        <v>526</v>
      </c>
      <c r="I65" s="8" t="s">
        <v>526</v>
      </c>
      <c r="J65" s="8" t="s">
        <v>526</v>
      </c>
      <c r="K65" s="8" t="s">
        <v>526</v>
      </c>
      <c r="L65" s="8">
        <v>2000</v>
      </c>
      <c r="M65" s="8">
        <v>3000</v>
      </c>
      <c r="N65" s="8" t="s">
        <v>526</v>
      </c>
      <c r="O65" s="8" t="s">
        <v>526</v>
      </c>
      <c r="P65" s="8" t="s">
        <v>526</v>
      </c>
      <c r="Q65" s="8" t="s">
        <v>526</v>
      </c>
      <c r="R65" s="8" t="s">
        <v>526</v>
      </c>
      <c r="S65" s="8" t="s">
        <v>526</v>
      </c>
      <c r="T65" s="8" t="s">
        <v>526</v>
      </c>
      <c r="U65" s="8">
        <v>950.95899999999995</v>
      </c>
      <c r="V65" s="8">
        <v>3133.1190000000001</v>
      </c>
      <c r="W65" s="8">
        <v>1128.434</v>
      </c>
      <c r="X65" s="8">
        <v>1044.183</v>
      </c>
      <c r="Y65" s="8">
        <v>1457.3130000000001</v>
      </c>
      <c r="Z65" s="8">
        <v>2132.7339999999999</v>
      </c>
      <c r="AA65" s="8">
        <v>964.68799999999999</v>
      </c>
      <c r="AB65" s="8">
        <v>1205.8610000000001</v>
      </c>
      <c r="AC65" s="8">
        <v>1929.377</v>
      </c>
    </row>
    <row r="66" spans="1:29" x14ac:dyDescent="0.2">
      <c r="A66" s="7" t="s">
        <v>99</v>
      </c>
      <c r="B66" s="3" t="s">
        <v>78</v>
      </c>
      <c r="C66" s="3" t="s">
        <v>79</v>
      </c>
      <c r="D66" s="3" t="s">
        <v>86</v>
      </c>
      <c r="E66" s="8" t="s">
        <v>526</v>
      </c>
      <c r="F66" s="8" t="s">
        <v>526</v>
      </c>
      <c r="G66" s="8" t="s">
        <v>526</v>
      </c>
      <c r="H66" s="8" t="s">
        <v>526</v>
      </c>
      <c r="I66" s="8" t="s">
        <v>526</v>
      </c>
      <c r="J66" s="8" t="s">
        <v>526</v>
      </c>
      <c r="K66" s="8" t="s">
        <v>526</v>
      </c>
      <c r="L66" s="8" t="s">
        <v>526</v>
      </c>
      <c r="M66" s="8" t="s">
        <v>526</v>
      </c>
      <c r="N66" s="8" t="s">
        <v>526</v>
      </c>
      <c r="O66" s="8" t="s">
        <v>526</v>
      </c>
      <c r="P66" s="8" t="s">
        <v>526</v>
      </c>
      <c r="Q66" s="8" t="s">
        <v>526</v>
      </c>
      <c r="R66" s="8" t="s">
        <v>526</v>
      </c>
      <c r="S66" s="8" t="s">
        <v>526</v>
      </c>
      <c r="T66" s="8" t="s">
        <v>526</v>
      </c>
      <c r="U66" s="8">
        <v>0.95</v>
      </c>
      <c r="V66" s="8">
        <v>1.5801727210918111</v>
      </c>
      <c r="W66" s="8">
        <v>0.17060626035853638</v>
      </c>
      <c r="X66" s="8">
        <v>1.1180102670113399</v>
      </c>
      <c r="Y66" s="8">
        <v>0.97866880404205303</v>
      </c>
      <c r="Z66" s="8">
        <v>1.899046668363324</v>
      </c>
      <c r="AA66" s="8">
        <v>0.15407865306629406</v>
      </c>
      <c r="AB66" s="8">
        <v>1.1054266235008066</v>
      </c>
      <c r="AC66" s="8">
        <v>0.94155515257684208</v>
      </c>
    </row>
    <row r="67" spans="1:29" x14ac:dyDescent="0.2">
      <c r="A67" s="7" t="s">
        <v>87</v>
      </c>
      <c r="B67" s="3" t="s">
        <v>32</v>
      </c>
      <c r="C67" s="3" t="s">
        <v>33</v>
      </c>
      <c r="D67" s="3" t="s">
        <v>88</v>
      </c>
      <c r="E67" s="8">
        <v>96</v>
      </c>
      <c r="F67" s="8">
        <v>102.69</v>
      </c>
      <c r="G67" s="8">
        <v>108</v>
      </c>
      <c r="H67" s="8">
        <v>116</v>
      </c>
      <c r="I67" s="8">
        <v>120.54</v>
      </c>
      <c r="J67" s="8">
        <v>132.44</v>
      </c>
      <c r="K67" s="8">
        <v>135.30000000000001</v>
      </c>
      <c r="L67" s="8">
        <v>136</v>
      </c>
      <c r="M67" s="8">
        <v>143.88</v>
      </c>
      <c r="N67" s="8">
        <v>148.5</v>
      </c>
      <c r="O67" s="8">
        <v>149.16</v>
      </c>
      <c r="P67" s="8">
        <v>146.16</v>
      </c>
      <c r="Q67" s="8">
        <v>149.72999999999999</v>
      </c>
      <c r="R67" s="8">
        <v>160.86000000000001</v>
      </c>
      <c r="S67" s="8">
        <v>167.42</v>
      </c>
      <c r="T67" s="8">
        <v>163.16999999999999</v>
      </c>
      <c r="U67" s="8">
        <v>164.88855623393246</v>
      </c>
      <c r="V67" s="8">
        <v>171.84292045345717</v>
      </c>
      <c r="W67" s="8">
        <v>175.43910775462496</v>
      </c>
      <c r="X67" s="8">
        <v>177.79556442791721</v>
      </c>
      <c r="Y67" s="8">
        <v>180.58919110849558</v>
      </c>
      <c r="Z67" s="8">
        <v>186.75837084403386</v>
      </c>
      <c r="AA67" s="8">
        <v>188.35842389930653</v>
      </c>
      <c r="AB67" s="8">
        <v>191.06430610739142</v>
      </c>
      <c r="AC67" s="8">
        <v>193.66438965490508</v>
      </c>
    </row>
    <row r="68" spans="1:29" x14ac:dyDescent="0.2">
      <c r="A68" s="7" t="s">
        <v>96</v>
      </c>
      <c r="B68" s="3" t="s">
        <v>97</v>
      </c>
      <c r="C68" s="3" t="s">
        <v>98</v>
      </c>
      <c r="D68" s="3" t="s">
        <v>88</v>
      </c>
      <c r="E68" s="8" t="s">
        <v>526</v>
      </c>
      <c r="F68" s="8" t="s">
        <v>526</v>
      </c>
      <c r="G68" s="8" t="s">
        <v>526</v>
      </c>
      <c r="H68" s="8" t="s">
        <v>526</v>
      </c>
      <c r="I68" s="8" t="s">
        <v>526</v>
      </c>
      <c r="J68" s="8" t="s">
        <v>526</v>
      </c>
      <c r="K68" s="8" t="s">
        <v>526</v>
      </c>
      <c r="L68" s="8">
        <v>2000</v>
      </c>
      <c r="M68" s="8">
        <v>5000</v>
      </c>
      <c r="N68" s="8" t="s">
        <v>526</v>
      </c>
      <c r="O68" s="8" t="s">
        <v>526</v>
      </c>
      <c r="P68" s="8" t="s">
        <v>526</v>
      </c>
      <c r="Q68" s="8" t="s">
        <v>526</v>
      </c>
      <c r="R68" s="8" t="s">
        <v>526</v>
      </c>
      <c r="S68" s="8" t="s">
        <v>526</v>
      </c>
      <c r="T68" s="8" t="s">
        <v>526</v>
      </c>
      <c r="U68" s="8">
        <v>2455.4290000000001</v>
      </c>
      <c r="V68" s="8">
        <v>6342.009</v>
      </c>
      <c r="W68" s="8">
        <v>2136.2040000000002</v>
      </c>
      <c r="X68" s="8">
        <v>3477.6610000000001</v>
      </c>
      <c r="Y68" s="8">
        <v>3477.6610000000001</v>
      </c>
      <c r="Z68" s="8">
        <v>3843.5129999999999</v>
      </c>
      <c r="AA68" s="8">
        <v>1463.4079999999999</v>
      </c>
      <c r="AB68" s="8">
        <v>4146.3230000000003</v>
      </c>
      <c r="AC68" s="8">
        <v>4146.3230000000003</v>
      </c>
    </row>
    <row r="69" spans="1:29" x14ac:dyDescent="0.2">
      <c r="A69" s="7" t="s">
        <v>99</v>
      </c>
      <c r="B69" s="3" t="s">
        <v>78</v>
      </c>
      <c r="C69" s="3" t="s">
        <v>79</v>
      </c>
      <c r="D69" s="3" t="s">
        <v>88</v>
      </c>
      <c r="E69" s="8" t="s">
        <v>526</v>
      </c>
      <c r="F69" s="8" t="s">
        <v>526</v>
      </c>
      <c r="G69" s="8" t="s">
        <v>526</v>
      </c>
      <c r="H69" s="8" t="s">
        <v>526</v>
      </c>
      <c r="I69" s="8" t="s">
        <v>526</v>
      </c>
      <c r="J69" s="8" t="s">
        <v>526</v>
      </c>
      <c r="K69" s="8" t="s">
        <v>526</v>
      </c>
      <c r="L69" s="8" t="s">
        <v>526</v>
      </c>
      <c r="M69" s="8" t="s">
        <v>526</v>
      </c>
      <c r="N69" s="8" t="s">
        <v>526</v>
      </c>
      <c r="O69" s="8" t="s">
        <v>526</v>
      </c>
      <c r="P69" s="8" t="s">
        <v>526</v>
      </c>
      <c r="Q69" s="8" t="s">
        <v>526</v>
      </c>
      <c r="R69" s="8" t="s">
        <v>526</v>
      </c>
      <c r="S69" s="8" t="s">
        <v>526</v>
      </c>
      <c r="T69" s="8" t="s">
        <v>526</v>
      </c>
      <c r="U69" s="8">
        <v>1.1875</v>
      </c>
      <c r="V69" s="8">
        <v>2.1563190587311811</v>
      </c>
      <c r="W69" s="8">
        <v>1.7784656180377396</v>
      </c>
      <c r="X69" s="8">
        <v>1.806875830380287</v>
      </c>
      <c r="Y69" s="8">
        <v>1.5767388477806814</v>
      </c>
      <c r="Z69" s="8">
        <v>2.1329616131122719</v>
      </c>
      <c r="AA69" s="8">
        <v>1.6531009228757476</v>
      </c>
      <c r="AB69" s="8">
        <v>1.510237087022372</v>
      </c>
      <c r="AC69" s="8">
        <v>1.1590892695310828</v>
      </c>
    </row>
    <row r="70" spans="1:29" x14ac:dyDescent="0.2">
      <c r="A70" s="7" t="s">
        <v>100</v>
      </c>
      <c r="B70" s="3" t="s">
        <v>32</v>
      </c>
      <c r="C70" s="3" t="s">
        <v>33</v>
      </c>
      <c r="D70" s="3" t="s">
        <v>90</v>
      </c>
      <c r="E70" s="8">
        <v>119</v>
      </c>
      <c r="F70" s="8">
        <v>136.91999999999999</v>
      </c>
      <c r="G70" s="8">
        <v>149</v>
      </c>
      <c r="H70" s="8">
        <v>165</v>
      </c>
      <c r="I70" s="8">
        <v>183.68</v>
      </c>
      <c r="J70" s="8">
        <v>186.62</v>
      </c>
      <c r="K70" s="8">
        <v>196.8</v>
      </c>
      <c r="L70" s="8">
        <v>204</v>
      </c>
      <c r="M70" s="8">
        <v>215.82</v>
      </c>
      <c r="N70" s="8">
        <v>229.5</v>
      </c>
      <c r="O70" s="8">
        <v>230.52</v>
      </c>
      <c r="P70" s="8">
        <v>250.56</v>
      </c>
      <c r="Q70" s="8">
        <v>256.68</v>
      </c>
      <c r="R70" s="8">
        <v>283.42</v>
      </c>
      <c r="S70" s="8">
        <v>281.57</v>
      </c>
      <c r="T70" s="8">
        <v>287.49</v>
      </c>
      <c r="U70" s="8">
        <v>300.41175403156763</v>
      </c>
      <c r="V70" s="8">
        <v>316.44831801952631</v>
      </c>
      <c r="W70" s="8">
        <v>321.03920613516738</v>
      </c>
      <c r="X70" s="8">
        <v>328.67406581414383</v>
      </c>
      <c r="Y70" s="8">
        <v>336.56019044573156</v>
      </c>
      <c r="Z70" s="8">
        <v>350.86840595100892</v>
      </c>
      <c r="AA70" s="8">
        <v>347.22425532634065</v>
      </c>
      <c r="AB70" s="8">
        <v>354.87399627346281</v>
      </c>
      <c r="AC70" s="8">
        <v>361.01945872476688</v>
      </c>
    </row>
    <row r="71" spans="1:29" x14ac:dyDescent="0.2">
      <c r="A71" s="7" t="s">
        <v>96</v>
      </c>
      <c r="B71" s="3" t="s">
        <v>97</v>
      </c>
      <c r="C71" s="3" t="s">
        <v>98</v>
      </c>
      <c r="D71" s="3" t="s">
        <v>90</v>
      </c>
      <c r="E71" s="8" t="s">
        <v>526</v>
      </c>
      <c r="F71" s="8" t="s">
        <v>526</v>
      </c>
      <c r="G71" s="8" t="s">
        <v>526</v>
      </c>
      <c r="H71" s="8" t="s">
        <v>526</v>
      </c>
      <c r="I71" s="8" t="s">
        <v>526</v>
      </c>
      <c r="J71" s="8" t="s">
        <v>526</v>
      </c>
      <c r="K71" s="8" t="s">
        <v>526</v>
      </c>
      <c r="L71" s="8">
        <v>10000</v>
      </c>
      <c r="M71" s="8">
        <v>7000</v>
      </c>
      <c r="N71" s="8" t="s">
        <v>526</v>
      </c>
      <c r="O71" s="8" t="s">
        <v>526</v>
      </c>
      <c r="P71" s="8" t="s">
        <v>526</v>
      </c>
      <c r="Q71" s="8" t="s">
        <v>526</v>
      </c>
      <c r="R71" s="8" t="s">
        <v>526</v>
      </c>
      <c r="S71" s="8" t="s">
        <v>526</v>
      </c>
      <c r="T71" s="8" t="s">
        <v>526</v>
      </c>
      <c r="U71" s="8">
        <v>4134.8220000000001</v>
      </c>
      <c r="V71" s="8">
        <v>12094.05</v>
      </c>
      <c r="W71" s="8">
        <v>3476.61</v>
      </c>
      <c r="X71" s="8">
        <v>5379.2359999999999</v>
      </c>
      <c r="Y71" s="8">
        <v>6315.7259999999997</v>
      </c>
      <c r="Z71" s="8">
        <v>10352.995000000001</v>
      </c>
      <c r="AA71" s="8">
        <v>3073.1559999999999</v>
      </c>
      <c r="AB71" s="8">
        <v>6193.6189999999997</v>
      </c>
      <c r="AC71" s="8">
        <v>5095.1540000000005</v>
      </c>
    </row>
    <row r="72" spans="1:29" x14ac:dyDescent="0.2">
      <c r="A72" s="7" t="s">
        <v>99</v>
      </c>
      <c r="B72" s="3" t="s">
        <v>78</v>
      </c>
      <c r="C72" s="3" t="s">
        <v>79</v>
      </c>
      <c r="D72" s="3" t="s">
        <v>90</v>
      </c>
      <c r="E72" s="8" t="s">
        <v>526</v>
      </c>
      <c r="F72" s="8" t="s">
        <v>526</v>
      </c>
      <c r="G72" s="8" t="s">
        <v>526</v>
      </c>
      <c r="H72" s="8" t="s">
        <v>526</v>
      </c>
      <c r="I72" s="8" t="s">
        <v>526</v>
      </c>
      <c r="J72" s="8" t="s">
        <v>526</v>
      </c>
      <c r="K72" s="8" t="s">
        <v>526</v>
      </c>
      <c r="L72" s="8" t="s">
        <v>526</v>
      </c>
      <c r="M72" s="8" t="s">
        <v>526</v>
      </c>
      <c r="N72" s="8" t="s">
        <v>526</v>
      </c>
      <c r="O72" s="8" t="s">
        <v>526</v>
      </c>
      <c r="P72" s="8" t="s">
        <v>526</v>
      </c>
      <c r="Q72" s="8" t="s">
        <v>526</v>
      </c>
      <c r="R72" s="8" t="s">
        <v>526</v>
      </c>
      <c r="S72" s="8" t="s">
        <v>526</v>
      </c>
      <c r="T72" s="8" t="s">
        <v>526</v>
      </c>
      <c r="U72" s="8">
        <v>1.6198142857142817</v>
      </c>
      <c r="V72" s="8">
        <v>3.5047777928571433</v>
      </c>
      <c r="W72" s="8">
        <v>1.3333333333333333</v>
      </c>
      <c r="X72" s="8">
        <v>1.8125</v>
      </c>
      <c r="Y72" s="8">
        <v>1.625</v>
      </c>
      <c r="Z72" s="8">
        <v>2</v>
      </c>
      <c r="AA72" s="8">
        <v>0</v>
      </c>
      <c r="AB72" s="8">
        <v>2.125</v>
      </c>
      <c r="AC72" s="8">
        <v>1.5</v>
      </c>
    </row>
    <row r="73" spans="1:29" x14ac:dyDescent="0.2">
      <c r="A73" s="7" t="s">
        <v>14</v>
      </c>
      <c r="B73" s="3"/>
      <c r="C73" s="3"/>
      <c r="D73" s="3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">
      <c r="A74" s="7" t="s">
        <v>101</v>
      </c>
      <c r="B74" s="3"/>
      <c r="C74" s="3"/>
      <c r="D74" s="3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">
      <c r="A75" s="7" t="s">
        <v>95</v>
      </c>
      <c r="B75" s="3" t="s">
        <v>27</v>
      </c>
      <c r="C75" s="3" t="s">
        <v>28</v>
      </c>
      <c r="D75" s="3" t="s">
        <v>19</v>
      </c>
      <c r="E75" s="8">
        <v>4.63</v>
      </c>
      <c r="F75" s="8">
        <v>4.55</v>
      </c>
      <c r="G75" s="8">
        <v>4.32</v>
      </c>
      <c r="H75" s="8">
        <v>4.2699999999999996</v>
      </c>
      <c r="I75" s="8">
        <v>4.34</v>
      </c>
      <c r="J75" s="8">
        <v>4.5999999999999996</v>
      </c>
      <c r="K75" s="8">
        <v>4.55</v>
      </c>
      <c r="L75" s="8">
        <v>4.62</v>
      </c>
      <c r="M75" s="8">
        <v>4.71</v>
      </c>
      <c r="N75" s="8">
        <v>4.8499999999999996</v>
      </c>
      <c r="O75" s="8">
        <v>4.7300000000000004</v>
      </c>
      <c r="P75" s="8">
        <v>4.57</v>
      </c>
      <c r="Q75" s="8">
        <v>4.53</v>
      </c>
      <c r="R75" s="8">
        <v>4.7</v>
      </c>
      <c r="S75" s="8">
        <v>4.76</v>
      </c>
      <c r="T75" s="8">
        <v>4.8899999999999997</v>
      </c>
      <c r="U75" s="8">
        <v>4.9531319382360062</v>
      </c>
      <c r="V75" s="8">
        <v>5.0331896835319503</v>
      </c>
      <c r="W75" s="8">
        <v>5.0582471774148692</v>
      </c>
      <c r="X75" s="8">
        <v>5.160107404821848</v>
      </c>
      <c r="Y75" s="8">
        <v>5.2410285752792571</v>
      </c>
      <c r="Z75" s="8">
        <v>5.3338182794961337</v>
      </c>
      <c r="AA75" s="8">
        <v>5.3633065762182008</v>
      </c>
      <c r="AB75" s="8">
        <v>5.4516547906577442</v>
      </c>
      <c r="AC75" s="8">
        <v>5.5051018698739247</v>
      </c>
    </row>
    <row r="76" spans="1:29" x14ac:dyDescent="0.2">
      <c r="A76" s="7" t="s">
        <v>102</v>
      </c>
      <c r="B76" s="3"/>
      <c r="C76" s="3"/>
      <c r="D76" s="3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">
      <c r="A77" s="7" t="s">
        <v>95</v>
      </c>
      <c r="B77" s="3" t="s">
        <v>103</v>
      </c>
      <c r="C77" s="3" t="s">
        <v>104</v>
      </c>
      <c r="D77" s="3" t="s">
        <v>19</v>
      </c>
      <c r="E77" s="8">
        <v>188000</v>
      </c>
      <c r="F77" s="8">
        <v>195000</v>
      </c>
      <c r="G77" s="8">
        <v>205000</v>
      </c>
      <c r="H77" s="8">
        <v>210000</v>
      </c>
      <c r="I77" s="8">
        <v>220000</v>
      </c>
      <c r="J77" s="8">
        <v>226000</v>
      </c>
      <c r="K77" s="8">
        <v>236000</v>
      </c>
      <c r="L77" s="8">
        <v>239000</v>
      </c>
      <c r="M77" s="8">
        <v>246000</v>
      </c>
      <c r="N77" s="8">
        <v>252000</v>
      </c>
      <c r="O77" s="8">
        <v>263000</v>
      </c>
      <c r="P77" s="8">
        <v>268000</v>
      </c>
      <c r="Q77" s="8">
        <v>276000</v>
      </c>
      <c r="R77" s="8">
        <v>281000</v>
      </c>
      <c r="S77" s="8">
        <v>290000</v>
      </c>
      <c r="T77" s="8">
        <v>293000</v>
      </c>
      <c r="U77" s="8">
        <v>300000</v>
      </c>
      <c r="V77" s="8">
        <v>305130.77799999999</v>
      </c>
      <c r="W77" s="8">
        <v>315415.60164000001</v>
      </c>
      <c r="X77" s="8">
        <v>318698.20901156397</v>
      </c>
      <c r="Y77" s="8">
        <v>324973.28979613527</v>
      </c>
      <c r="Z77" s="8">
        <v>330070.67349855928</v>
      </c>
      <c r="AA77" s="8">
        <v>339774.58011357486</v>
      </c>
      <c r="AB77" s="8">
        <v>342668.63435659325</v>
      </c>
      <c r="AC77" s="8">
        <v>348940.95914963458</v>
      </c>
    </row>
    <row r="78" spans="1:29" x14ac:dyDescent="0.2">
      <c r="A78" s="7" t="s">
        <v>105</v>
      </c>
      <c r="B78" s="3" t="s">
        <v>103</v>
      </c>
      <c r="C78" s="3" t="s">
        <v>104</v>
      </c>
      <c r="D78" s="3" t="s">
        <v>30</v>
      </c>
      <c r="E78" s="8">
        <v>256000</v>
      </c>
      <c r="F78" s="8">
        <v>273000</v>
      </c>
      <c r="G78" s="8">
        <v>295000</v>
      </c>
      <c r="H78" s="8">
        <v>305000</v>
      </c>
      <c r="I78" s="8">
        <v>343000</v>
      </c>
      <c r="J78" s="8">
        <v>361000</v>
      </c>
      <c r="K78" s="8">
        <v>379000</v>
      </c>
      <c r="L78" s="8">
        <v>388000</v>
      </c>
      <c r="M78" s="8">
        <v>393000</v>
      </c>
      <c r="N78" s="8">
        <v>402000</v>
      </c>
      <c r="O78" s="8">
        <v>425000</v>
      </c>
      <c r="P78" s="8">
        <v>423000</v>
      </c>
      <c r="Q78" s="8">
        <v>433000</v>
      </c>
      <c r="R78" s="8">
        <v>446000</v>
      </c>
      <c r="S78" s="8">
        <v>476000</v>
      </c>
      <c r="T78" s="8">
        <v>483000</v>
      </c>
      <c r="U78" s="8">
        <v>494000</v>
      </c>
      <c r="V78" s="8">
        <v>500206</v>
      </c>
      <c r="W78" s="8">
        <v>524000</v>
      </c>
      <c r="X78" s="8">
        <v>529600</v>
      </c>
      <c r="Y78" s="8">
        <v>538400</v>
      </c>
      <c r="Z78" s="8">
        <v>543199.99999999988</v>
      </c>
      <c r="AA78" s="8">
        <v>562400</v>
      </c>
      <c r="AB78" s="8">
        <v>566880</v>
      </c>
      <c r="AC78" s="8">
        <v>573920</v>
      </c>
    </row>
    <row r="79" spans="1:29" s="12" customFormat="1" x14ac:dyDescent="0.2">
      <c r="A79" s="9" t="s">
        <v>527</v>
      </c>
      <c r="B79" s="10"/>
      <c r="C79" s="10"/>
      <c r="D79" s="10"/>
      <c r="E79" s="11">
        <f>E78/E77</f>
        <v>1.3617021276595744</v>
      </c>
      <c r="F79" s="11">
        <f t="shared" ref="F79:AC79" si="0">F78/F77</f>
        <v>1.4</v>
      </c>
      <c r="G79" s="11">
        <f t="shared" si="0"/>
        <v>1.4390243902439024</v>
      </c>
      <c r="H79" s="11">
        <f t="shared" si="0"/>
        <v>1.4523809523809523</v>
      </c>
      <c r="I79" s="11">
        <f t="shared" si="0"/>
        <v>1.5590909090909091</v>
      </c>
      <c r="J79" s="11">
        <f t="shared" si="0"/>
        <v>1.5973451327433628</v>
      </c>
      <c r="K79" s="11">
        <f t="shared" si="0"/>
        <v>1.6059322033898304</v>
      </c>
      <c r="L79" s="11">
        <f t="shared" si="0"/>
        <v>1.6234309623430963</v>
      </c>
      <c r="M79" s="11">
        <f t="shared" si="0"/>
        <v>1.5975609756097562</v>
      </c>
      <c r="N79" s="11">
        <f t="shared" si="0"/>
        <v>1.5952380952380953</v>
      </c>
      <c r="O79" s="11">
        <f t="shared" si="0"/>
        <v>1.6159695817490494</v>
      </c>
      <c r="P79" s="11">
        <f t="shared" si="0"/>
        <v>1.5783582089552239</v>
      </c>
      <c r="Q79" s="11">
        <f t="shared" si="0"/>
        <v>1.568840579710145</v>
      </c>
      <c r="R79" s="11">
        <f t="shared" si="0"/>
        <v>1.5871886120996441</v>
      </c>
      <c r="S79" s="11">
        <f t="shared" si="0"/>
        <v>1.6413793103448275</v>
      </c>
      <c r="T79" s="11">
        <f t="shared" si="0"/>
        <v>1.6484641638225257</v>
      </c>
      <c r="U79" s="11">
        <f t="shared" si="0"/>
        <v>1.6466666666666667</v>
      </c>
      <c r="V79" s="11">
        <f t="shared" si="0"/>
        <v>1.6393167653510194</v>
      </c>
      <c r="W79" s="11">
        <f t="shared" si="0"/>
        <v>1.6613001933812648</v>
      </c>
      <c r="X79" s="11">
        <f t="shared" si="0"/>
        <v>1.661760201422354</v>
      </c>
      <c r="Y79" s="11">
        <f t="shared" si="0"/>
        <v>1.6567515451431507</v>
      </c>
      <c r="Z79" s="11">
        <f t="shared" si="0"/>
        <v>1.6457081577178376</v>
      </c>
      <c r="AA79" s="11">
        <f t="shared" si="0"/>
        <v>1.6552150540867689</v>
      </c>
      <c r="AB79" s="11">
        <f t="shared" si="0"/>
        <v>1.6543095666295631</v>
      </c>
      <c r="AC79" s="11">
        <f t="shared" si="0"/>
        <v>1.6447481585384442</v>
      </c>
    </row>
    <row r="80" spans="1:29" x14ac:dyDescent="0.2">
      <c r="A80" s="7" t="s">
        <v>14</v>
      </c>
      <c r="B80" s="3"/>
      <c r="C80" s="3"/>
      <c r="D80" s="3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">
      <c r="A81" s="7" t="s">
        <v>106</v>
      </c>
      <c r="B81" s="3"/>
      <c r="C81" s="3"/>
      <c r="D81" s="3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">
      <c r="A82" s="7" t="s">
        <v>80</v>
      </c>
      <c r="B82" s="3" t="s">
        <v>107</v>
      </c>
      <c r="C82" s="3" t="s">
        <v>108</v>
      </c>
      <c r="D82" s="3" t="s">
        <v>81</v>
      </c>
      <c r="E82" s="8">
        <v>31</v>
      </c>
      <c r="F82" s="8">
        <v>30</v>
      </c>
      <c r="G82" s="8">
        <v>30</v>
      </c>
      <c r="H82" s="8">
        <v>29</v>
      </c>
      <c r="I82" s="8">
        <v>28</v>
      </c>
      <c r="J82" s="8">
        <v>28</v>
      </c>
      <c r="K82" s="8">
        <v>28</v>
      </c>
      <c r="L82" s="8">
        <v>28</v>
      </c>
      <c r="M82" s="8">
        <v>27</v>
      </c>
      <c r="N82" s="8">
        <v>27</v>
      </c>
      <c r="O82" s="8">
        <v>27</v>
      </c>
      <c r="P82" s="8">
        <v>26</v>
      </c>
      <c r="Q82" s="8">
        <v>26</v>
      </c>
      <c r="R82" s="8">
        <v>26</v>
      </c>
      <c r="S82" s="8">
        <v>25</v>
      </c>
      <c r="T82" s="8">
        <v>25</v>
      </c>
      <c r="U82" s="8">
        <v>24.911416352092353</v>
      </c>
      <c r="V82" s="8">
        <v>24.811365150139828</v>
      </c>
      <c r="W82" s="8">
        <v>24.480566033476101</v>
      </c>
      <c r="X82" s="8">
        <v>24.427813341874046</v>
      </c>
      <c r="Y82" s="8">
        <v>24.354635745136274</v>
      </c>
      <c r="Z82" s="8">
        <v>24.20161216918363</v>
      </c>
      <c r="AA82" s="8">
        <v>24.376330551064719</v>
      </c>
      <c r="AB82" s="8">
        <v>24.34627863084491</v>
      </c>
      <c r="AC82" s="8">
        <v>24.343387703550849</v>
      </c>
    </row>
    <row r="83" spans="1:29" x14ac:dyDescent="0.2">
      <c r="A83" s="7" t="s">
        <v>85</v>
      </c>
      <c r="B83" s="3" t="s">
        <v>107</v>
      </c>
      <c r="C83" s="3" t="s">
        <v>108</v>
      </c>
      <c r="D83" s="3" t="s">
        <v>86</v>
      </c>
      <c r="E83" s="8">
        <v>22</v>
      </c>
      <c r="F83" s="8">
        <v>21</v>
      </c>
      <c r="G83" s="8">
        <v>20</v>
      </c>
      <c r="H83" s="8">
        <v>20</v>
      </c>
      <c r="I83" s="8">
        <v>19</v>
      </c>
      <c r="J83" s="8">
        <v>19</v>
      </c>
      <c r="K83" s="8">
        <v>18</v>
      </c>
      <c r="L83" s="8">
        <v>18</v>
      </c>
      <c r="M83" s="8">
        <v>18</v>
      </c>
      <c r="N83" s="8">
        <v>17</v>
      </c>
      <c r="O83" s="8">
        <v>17</v>
      </c>
      <c r="P83" s="8">
        <v>17</v>
      </c>
      <c r="Q83" s="8">
        <v>17</v>
      </c>
      <c r="R83" s="8">
        <v>16</v>
      </c>
      <c r="S83" s="8">
        <v>16</v>
      </c>
      <c r="T83" s="8">
        <v>16</v>
      </c>
      <c r="U83" s="8">
        <v>15.970049590650081</v>
      </c>
      <c r="V83" s="8">
        <v>15.625559545405229</v>
      </c>
      <c r="W83" s="8">
        <v>15.610692901671111</v>
      </c>
      <c r="X83" s="8">
        <v>15.477706781784921</v>
      </c>
      <c r="Y83" s="8">
        <v>15.305877848126601</v>
      </c>
      <c r="Z83" s="8">
        <v>15.109607789328878</v>
      </c>
      <c r="AA83" s="8">
        <v>15.565866560548988</v>
      </c>
      <c r="AB83" s="8">
        <v>15.477418104917462</v>
      </c>
      <c r="AC83" s="8">
        <v>15.432525994236606</v>
      </c>
    </row>
    <row r="84" spans="1:29" x14ac:dyDescent="0.2">
      <c r="A84" s="7" t="s">
        <v>87</v>
      </c>
      <c r="B84" s="3" t="s">
        <v>107</v>
      </c>
      <c r="C84" s="3" t="s">
        <v>108</v>
      </c>
      <c r="D84" s="3" t="s">
        <v>88</v>
      </c>
      <c r="E84" s="8">
        <v>21</v>
      </c>
      <c r="F84" s="8">
        <v>21</v>
      </c>
      <c r="G84" s="8">
        <v>21</v>
      </c>
      <c r="H84" s="8">
        <v>21</v>
      </c>
      <c r="I84" s="8">
        <v>21</v>
      </c>
      <c r="J84" s="8">
        <v>22</v>
      </c>
      <c r="K84" s="8">
        <v>22</v>
      </c>
      <c r="L84" s="8">
        <v>22</v>
      </c>
      <c r="M84" s="8">
        <v>22</v>
      </c>
      <c r="N84" s="8">
        <v>22</v>
      </c>
      <c r="O84" s="8">
        <v>22</v>
      </c>
      <c r="P84" s="8">
        <v>21</v>
      </c>
      <c r="Q84" s="8">
        <v>21</v>
      </c>
      <c r="R84" s="8">
        <v>21</v>
      </c>
      <c r="S84" s="8">
        <v>22</v>
      </c>
      <c r="T84" s="8">
        <v>21</v>
      </c>
      <c r="U84" s="8">
        <v>22.063745475360175</v>
      </c>
      <c r="V84" s="8">
        <v>22.120940135585702</v>
      </c>
      <c r="W84" s="8">
        <v>22.12207119608172</v>
      </c>
      <c r="X84" s="8">
        <v>22.222414200266769</v>
      </c>
      <c r="Y84" s="8">
        <v>22.218657011947638</v>
      </c>
      <c r="Z84" s="8">
        <v>22.273014894287723</v>
      </c>
      <c r="AA84" s="8">
        <v>21.12214325910135</v>
      </c>
      <c r="AB84" s="8">
        <v>21.061534828602774</v>
      </c>
      <c r="AC84" s="8">
        <v>21.028249016818002</v>
      </c>
    </row>
    <row r="85" spans="1:29" x14ac:dyDescent="0.2">
      <c r="A85" s="7" t="s">
        <v>100</v>
      </c>
      <c r="B85" s="3" t="s">
        <v>107</v>
      </c>
      <c r="C85" s="3" t="s">
        <v>108</v>
      </c>
      <c r="D85" s="3" t="s">
        <v>90</v>
      </c>
      <c r="E85" s="8">
        <v>26</v>
      </c>
      <c r="F85" s="8">
        <v>28</v>
      </c>
      <c r="G85" s="8">
        <v>29</v>
      </c>
      <c r="H85" s="8">
        <v>30</v>
      </c>
      <c r="I85" s="8">
        <v>32</v>
      </c>
      <c r="J85" s="8">
        <v>31</v>
      </c>
      <c r="K85" s="8">
        <v>32</v>
      </c>
      <c r="L85" s="8">
        <v>32</v>
      </c>
      <c r="M85" s="8">
        <v>33</v>
      </c>
      <c r="N85" s="8">
        <v>34</v>
      </c>
      <c r="O85" s="8">
        <v>34</v>
      </c>
      <c r="P85" s="8">
        <v>36</v>
      </c>
      <c r="Q85" s="8">
        <v>36</v>
      </c>
      <c r="R85" s="8">
        <v>37</v>
      </c>
      <c r="S85" s="8">
        <v>37</v>
      </c>
      <c r="T85" s="8">
        <v>37</v>
      </c>
      <c r="U85" s="8">
        <v>38.09028855640512</v>
      </c>
      <c r="V85" s="8">
        <v>38.538165663839365</v>
      </c>
      <c r="W85" s="8">
        <v>38.73129500776222</v>
      </c>
      <c r="X85" s="8">
        <v>39.049921759810708</v>
      </c>
      <c r="Y85" s="8">
        <v>39.322184917578376</v>
      </c>
      <c r="Z85" s="8">
        <v>39.687704430704883</v>
      </c>
      <c r="AA85" s="8">
        <v>39.001529133308409</v>
      </c>
      <c r="AB85" s="8">
        <v>39.276967956431292</v>
      </c>
      <c r="AC85" s="8">
        <v>39.396990260276077</v>
      </c>
    </row>
    <row r="86" spans="1:29" x14ac:dyDescent="0.2">
      <c r="A86" s="7" t="s">
        <v>14</v>
      </c>
      <c r="B86" s="3"/>
      <c r="C86" s="3"/>
      <c r="D86" s="3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">
      <c r="A87" s="7" t="s">
        <v>109</v>
      </c>
      <c r="B87" s="3"/>
      <c r="C87" s="3"/>
      <c r="D87" s="3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">
      <c r="A88" s="7" t="s">
        <v>15</v>
      </c>
      <c r="B88" s="3"/>
      <c r="C88" s="3"/>
      <c r="D88" s="3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">
      <c r="A89" s="7" t="s">
        <v>16</v>
      </c>
      <c r="B89" s="3" t="s">
        <v>17</v>
      </c>
      <c r="C89" s="3" t="s">
        <v>18</v>
      </c>
      <c r="D89" s="3" t="s">
        <v>19</v>
      </c>
      <c r="E89" s="8">
        <v>2651</v>
      </c>
      <c r="F89" s="8">
        <v>2717</v>
      </c>
      <c r="G89" s="8">
        <v>2713</v>
      </c>
      <c r="H89" s="8">
        <v>2773</v>
      </c>
      <c r="I89" s="8">
        <v>2910</v>
      </c>
      <c r="J89" s="8">
        <v>3170</v>
      </c>
      <c r="K89" s="8">
        <v>3247</v>
      </c>
      <c r="L89" s="8">
        <v>3351</v>
      </c>
      <c r="M89" s="8">
        <v>3516</v>
      </c>
      <c r="N89" s="8">
        <v>3705</v>
      </c>
      <c r="O89" s="8">
        <v>3771</v>
      </c>
      <c r="P89" s="8">
        <v>3740</v>
      </c>
      <c r="Q89" s="8">
        <v>3826</v>
      </c>
      <c r="R89" s="8">
        <v>4013</v>
      </c>
      <c r="S89" s="8">
        <v>4148</v>
      </c>
      <c r="T89" s="8">
        <v>4331</v>
      </c>
      <c r="U89" s="8">
        <v>4497.6637383587013</v>
      </c>
      <c r="V89" s="8">
        <v>4679.9810488867079</v>
      </c>
      <c r="W89" s="8">
        <v>4800.1827037483754</v>
      </c>
      <c r="X89" s="8">
        <v>4960.6318000826868</v>
      </c>
      <c r="Y89" s="8">
        <v>5138.6991270200988</v>
      </c>
      <c r="Z89" s="8">
        <v>5336.6332960357577</v>
      </c>
      <c r="AA89" s="8">
        <v>5550.7795263746029</v>
      </c>
      <c r="AB89" s="8">
        <v>5714.546806314559</v>
      </c>
      <c r="AC89" s="8">
        <v>5884.1560165063629</v>
      </c>
    </row>
    <row r="90" spans="1:29" x14ac:dyDescent="0.2">
      <c r="A90" s="7" t="s">
        <v>110</v>
      </c>
      <c r="B90" s="3" t="s">
        <v>111</v>
      </c>
      <c r="C90" s="3" t="s">
        <v>112</v>
      </c>
      <c r="D90" s="3" t="s">
        <v>19</v>
      </c>
      <c r="E90" s="8">
        <v>87</v>
      </c>
      <c r="F90" s="8">
        <v>85</v>
      </c>
      <c r="G90" s="8">
        <v>89</v>
      </c>
      <c r="H90" s="8">
        <v>87</v>
      </c>
      <c r="I90" s="8">
        <v>87</v>
      </c>
      <c r="J90" s="8" t="s">
        <v>526</v>
      </c>
      <c r="K90" s="8">
        <v>89</v>
      </c>
      <c r="L90" s="8">
        <v>88</v>
      </c>
      <c r="M90" s="8">
        <v>88</v>
      </c>
      <c r="N90" s="8">
        <v>87.4</v>
      </c>
      <c r="O90" s="8">
        <v>90</v>
      </c>
      <c r="P90" s="8">
        <v>89.2</v>
      </c>
      <c r="Q90" s="8" t="s">
        <v>526</v>
      </c>
      <c r="R90" s="8">
        <v>88.56</v>
      </c>
      <c r="S90" s="8">
        <v>92</v>
      </c>
      <c r="T90" s="8">
        <v>90.66</v>
      </c>
      <c r="U90" s="8">
        <v>90.20979906392256</v>
      </c>
      <c r="V90" s="8">
        <v>89.064564873206379</v>
      </c>
      <c r="W90" s="8">
        <v>91.568726447551171</v>
      </c>
      <c r="X90" s="8">
        <v>90.724892715049421</v>
      </c>
      <c r="Y90" s="8">
        <v>90.387179120462179</v>
      </c>
      <c r="Z90" s="8">
        <v>89.209862679511573</v>
      </c>
      <c r="AA90" s="8">
        <v>91.500495414022879</v>
      </c>
      <c r="AB90" s="8">
        <v>90.593927876492046</v>
      </c>
      <c r="AC90" s="8">
        <v>90.198379624861445</v>
      </c>
    </row>
    <row r="91" spans="1:29" x14ac:dyDescent="0.2">
      <c r="A91" s="7" t="s">
        <v>20</v>
      </c>
      <c r="B91" s="3" t="s">
        <v>21</v>
      </c>
      <c r="C91" s="3" t="s">
        <v>22</v>
      </c>
      <c r="D91" s="3" t="s">
        <v>19</v>
      </c>
      <c r="E91" s="8">
        <v>1908</v>
      </c>
      <c r="F91" s="8">
        <v>1939</v>
      </c>
      <c r="G91" s="8">
        <v>1937</v>
      </c>
      <c r="H91" s="8">
        <v>1984</v>
      </c>
      <c r="I91" s="8">
        <v>2062</v>
      </c>
      <c r="J91" s="8">
        <v>2248</v>
      </c>
      <c r="K91" s="8">
        <v>2268</v>
      </c>
      <c r="L91" s="8">
        <v>2300</v>
      </c>
      <c r="M91" s="8">
        <v>2338</v>
      </c>
      <c r="N91" s="8">
        <v>2418</v>
      </c>
      <c r="O91" s="8">
        <v>2509</v>
      </c>
      <c r="P91" s="8">
        <v>2503</v>
      </c>
      <c r="Q91" s="8">
        <v>2557</v>
      </c>
      <c r="R91" s="8">
        <v>2615</v>
      </c>
      <c r="S91" s="8">
        <v>2703</v>
      </c>
      <c r="T91" s="8">
        <v>2820</v>
      </c>
      <c r="U91" s="8">
        <v>2950.5713691643327</v>
      </c>
      <c r="V91" s="8">
        <v>3009.3473708557331</v>
      </c>
      <c r="W91" s="8">
        <v>3085.2367767058054</v>
      </c>
      <c r="X91" s="8">
        <v>3189.2806939799934</v>
      </c>
      <c r="Y91" s="8">
        <v>3319.7416401684154</v>
      </c>
      <c r="Z91" s="8">
        <v>3389.0348800784295</v>
      </c>
      <c r="AA91" s="8">
        <v>3511.5531540754614</v>
      </c>
      <c r="AB91" s="8">
        <v>3611.6874829460312</v>
      </c>
      <c r="AC91" s="8">
        <v>3747.6057142670597</v>
      </c>
    </row>
    <row r="92" spans="1:29" x14ac:dyDescent="0.2">
      <c r="A92" s="7" t="s">
        <v>113</v>
      </c>
      <c r="B92" s="3" t="s">
        <v>27</v>
      </c>
      <c r="C92" s="3" t="s">
        <v>28</v>
      </c>
      <c r="D92" s="3" t="s">
        <v>19</v>
      </c>
      <c r="E92" s="8">
        <v>4.63</v>
      </c>
      <c r="F92" s="8">
        <v>4.55</v>
      </c>
      <c r="G92" s="8">
        <v>4.32</v>
      </c>
      <c r="H92" s="8">
        <v>4.2699999999999996</v>
      </c>
      <c r="I92" s="8">
        <v>4.34</v>
      </c>
      <c r="J92" s="8">
        <v>4.5999999999999996</v>
      </c>
      <c r="K92" s="8">
        <v>4.55</v>
      </c>
      <c r="L92" s="8">
        <v>4.62</v>
      </c>
      <c r="M92" s="8">
        <v>4.71</v>
      </c>
      <c r="N92" s="8">
        <v>4.8499999999999996</v>
      </c>
      <c r="O92" s="8">
        <v>4.7300000000000004</v>
      </c>
      <c r="P92" s="8">
        <v>4.57</v>
      </c>
      <c r="Q92" s="8">
        <v>4.53</v>
      </c>
      <c r="R92" s="8">
        <v>4.7</v>
      </c>
      <c r="S92" s="8">
        <v>4.76</v>
      </c>
      <c r="T92" s="8">
        <v>4.8899999999999997</v>
      </c>
      <c r="U92" s="8">
        <v>4.9531319382360062</v>
      </c>
      <c r="V92" s="8">
        <v>5.0331896835319503</v>
      </c>
      <c r="W92" s="8">
        <v>5.0582471774148692</v>
      </c>
      <c r="X92" s="8">
        <v>5.160107404821848</v>
      </c>
      <c r="Y92" s="8">
        <v>5.2410285752792571</v>
      </c>
      <c r="Z92" s="8">
        <v>5.3338182794961337</v>
      </c>
      <c r="AA92" s="8">
        <v>5.3633065762182008</v>
      </c>
      <c r="AB92" s="8">
        <v>5.4516547906577442</v>
      </c>
      <c r="AC92" s="8">
        <v>5.5051018698739247</v>
      </c>
    </row>
    <row r="93" spans="1:29" x14ac:dyDescent="0.2">
      <c r="A93" s="7" t="s">
        <v>23</v>
      </c>
      <c r="B93" s="3" t="s">
        <v>24</v>
      </c>
      <c r="C93" s="3" t="s">
        <v>25</v>
      </c>
      <c r="D93" s="3" t="s">
        <v>19</v>
      </c>
      <c r="E93" s="8">
        <v>743</v>
      </c>
      <c r="F93" s="8">
        <v>778</v>
      </c>
      <c r="G93" s="8">
        <v>776</v>
      </c>
      <c r="H93" s="8">
        <v>789</v>
      </c>
      <c r="I93" s="8">
        <v>847</v>
      </c>
      <c r="J93" s="8">
        <v>922</v>
      </c>
      <c r="K93" s="8">
        <v>979</v>
      </c>
      <c r="L93" s="8">
        <v>1051</v>
      </c>
      <c r="M93" s="8">
        <v>1178</v>
      </c>
      <c r="N93" s="8">
        <v>1287</v>
      </c>
      <c r="O93" s="8">
        <v>1262</v>
      </c>
      <c r="P93" s="8">
        <v>1237</v>
      </c>
      <c r="Q93" s="8">
        <v>1351</v>
      </c>
      <c r="R93" s="8">
        <v>1398</v>
      </c>
      <c r="S93" s="8">
        <v>1445</v>
      </c>
      <c r="T93" s="8">
        <v>1511</v>
      </c>
      <c r="U93" s="8">
        <v>1545.3676359874853</v>
      </c>
      <c r="V93" s="8">
        <v>1657.2176660699981</v>
      </c>
      <c r="W93" s="8">
        <v>1707.117806061048</v>
      </c>
      <c r="X93" s="8">
        <v>1766.2389115950041</v>
      </c>
      <c r="Y93" s="8">
        <v>1810.4869406110097</v>
      </c>
      <c r="Z93" s="8">
        <v>1935.3220601838279</v>
      </c>
      <c r="AA93" s="8">
        <v>2039.2263722991431</v>
      </c>
      <c r="AB93" s="8">
        <v>2102.8593233685274</v>
      </c>
      <c r="AC93" s="8">
        <v>2136.5503022393041</v>
      </c>
    </row>
    <row r="94" spans="1:29" x14ac:dyDescent="0.2">
      <c r="A94" s="7" t="s">
        <v>114</v>
      </c>
      <c r="B94" s="3" t="s">
        <v>115</v>
      </c>
      <c r="C94" s="3" t="s">
        <v>116</v>
      </c>
      <c r="D94" s="3" t="s">
        <v>19</v>
      </c>
      <c r="E94" s="8">
        <v>28</v>
      </c>
      <c r="F94" s="8">
        <v>28.6</v>
      </c>
      <c r="G94" s="8">
        <v>28.6</v>
      </c>
      <c r="H94" s="8">
        <v>28.5</v>
      </c>
      <c r="I94" s="8">
        <v>29.1</v>
      </c>
      <c r="J94" s="8">
        <v>29.1</v>
      </c>
      <c r="K94" s="8">
        <v>30.2</v>
      </c>
      <c r="L94" s="8">
        <v>31</v>
      </c>
      <c r="M94" s="8">
        <v>33.5</v>
      </c>
      <c r="N94" s="8">
        <v>34.700000000000003</v>
      </c>
      <c r="O94" s="8">
        <v>33.5</v>
      </c>
      <c r="P94" s="8">
        <v>33.1</v>
      </c>
      <c r="Q94" s="8">
        <v>33.200000000000003</v>
      </c>
      <c r="R94" s="8">
        <v>34.799999999999997</v>
      </c>
      <c r="S94" s="8">
        <v>34.799999999999997</v>
      </c>
      <c r="T94" s="8">
        <v>34.9</v>
      </c>
      <c r="U94" s="8">
        <v>34.357179756086282</v>
      </c>
      <c r="V94" s="8">
        <v>35.433925387313387</v>
      </c>
      <c r="W94" s="8">
        <v>35.630583579617422</v>
      </c>
      <c r="X94" s="8">
        <v>35.6747330378128</v>
      </c>
      <c r="Y94" s="8">
        <v>35.318855310917236</v>
      </c>
      <c r="Z94" s="8">
        <v>36.22054552168597</v>
      </c>
      <c r="AA94" s="8">
        <v>36.702852193630733</v>
      </c>
      <c r="AB94" s="8">
        <v>36.765942316963823</v>
      </c>
      <c r="AC94" s="8">
        <v>36.274994013901257</v>
      </c>
    </row>
    <row r="95" spans="1:29" x14ac:dyDescent="0.2">
      <c r="A95" s="7" t="s">
        <v>117</v>
      </c>
      <c r="B95" s="3"/>
      <c r="C95" s="3"/>
      <c r="D95" s="3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">
      <c r="A96" s="7" t="s">
        <v>16</v>
      </c>
      <c r="B96" s="3" t="s">
        <v>17</v>
      </c>
      <c r="C96" s="3" t="s">
        <v>18</v>
      </c>
      <c r="D96" s="3" t="s">
        <v>30</v>
      </c>
      <c r="E96" s="8">
        <v>385</v>
      </c>
      <c r="F96" s="8">
        <v>449</v>
      </c>
      <c r="G96" s="8">
        <v>329</v>
      </c>
      <c r="H96" s="8">
        <v>404</v>
      </c>
      <c r="I96" s="8">
        <v>447</v>
      </c>
      <c r="J96" s="8">
        <v>501</v>
      </c>
      <c r="K96" s="8">
        <v>389</v>
      </c>
      <c r="L96" s="8">
        <v>456</v>
      </c>
      <c r="M96" s="8">
        <v>472</v>
      </c>
      <c r="N96" s="8">
        <v>537</v>
      </c>
      <c r="O96" s="8">
        <v>419</v>
      </c>
      <c r="P96" s="8">
        <v>453</v>
      </c>
      <c r="Q96" s="8">
        <v>446</v>
      </c>
      <c r="R96" s="8">
        <v>518</v>
      </c>
      <c r="S96" s="8">
        <v>385</v>
      </c>
      <c r="T96" s="8">
        <v>446</v>
      </c>
      <c r="U96" s="8">
        <v>485.43579138570857</v>
      </c>
      <c r="V96" s="8">
        <v>574.41402820633618</v>
      </c>
      <c r="W96" s="8">
        <v>441.94604137683763</v>
      </c>
      <c r="X96" s="8">
        <v>509.37088126158511</v>
      </c>
      <c r="Y96" s="8">
        <v>549.80402724258977</v>
      </c>
      <c r="Z96" s="8">
        <v>647.63414181328562</v>
      </c>
      <c r="AA96" s="8">
        <v>517.48995163404265</v>
      </c>
      <c r="AB96" s="8">
        <v>597.02579486689547</v>
      </c>
      <c r="AC96" s="8">
        <v>646.98494803579388</v>
      </c>
    </row>
    <row r="97" spans="1:29" x14ac:dyDescent="0.2">
      <c r="A97" s="7" t="s">
        <v>110</v>
      </c>
      <c r="B97" s="3" t="s">
        <v>111</v>
      </c>
      <c r="C97" s="3" t="s">
        <v>112</v>
      </c>
      <c r="D97" s="3" t="s">
        <v>30</v>
      </c>
      <c r="E97" s="8">
        <v>13</v>
      </c>
      <c r="F97" s="8">
        <v>15</v>
      </c>
      <c r="G97" s="8">
        <v>11</v>
      </c>
      <c r="H97" s="8">
        <v>13</v>
      </c>
      <c r="I97" s="8">
        <v>13</v>
      </c>
      <c r="J97" s="8" t="s">
        <v>526</v>
      </c>
      <c r="K97" s="8">
        <v>11</v>
      </c>
      <c r="L97" s="8">
        <v>12</v>
      </c>
      <c r="M97" s="8">
        <v>12</v>
      </c>
      <c r="N97" s="8">
        <v>12.6</v>
      </c>
      <c r="O97" s="8">
        <v>10</v>
      </c>
      <c r="P97" s="8">
        <v>10.8</v>
      </c>
      <c r="Q97" s="8" t="s">
        <v>526</v>
      </c>
      <c r="R97" s="8">
        <v>11.43</v>
      </c>
      <c r="S97" s="8">
        <v>8</v>
      </c>
      <c r="T97" s="8">
        <v>9.34</v>
      </c>
      <c r="U97" s="8">
        <v>8.1940346125869876</v>
      </c>
      <c r="V97" s="8">
        <v>8.0009334057492474</v>
      </c>
      <c r="W97" s="8">
        <v>7.0750816701421861</v>
      </c>
      <c r="X97" s="8">
        <v>7.617442136605681</v>
      </c>
      <c r="Y97" s="8">
        <v>7.4693489816066556</v>
      </c>
      <c r="Z97" s="8">
        <v>7.7365841927537993</v>
      </c>
      <c r="AA97" s="8">
        <v>6.6807149197720062</v>
      </c>
      <c r="AB97" s="8">
        <v>7.398030097241068</v>
      </c>
      <c r="AC97" s="8">
        <v>7.0817917702403888</v>
      </c>
    </row>
    <row r="98" spans="1:29" x14ac:dyDescent="0.2">
      <c r="A98" s="7" t="s">
        <v>20</v>
      </c>
      <c r="B98" s="3" t="s">
        <v>21</v>
      </c>
      <c r="C98" s="3" t="s">
        <v>22</v>
      </c>
      <c r="D98" s="3" t="s">
        <v>30</v>
      </c>
      <c r="E98" s="8">
        <v>378</v>
      </c>
      <c r="F98" s="8">
        <v>426</v>
      </c>
      <c r="G98" s="8">
        <v>339</v>
      </c>
      <c r="H98" s="8">
        <v>427</v>
      </c>
      <c r="I98" s="8">
        <v>410</v>
      </c>
      <c r="J98" s="8">
        <v>443</v>
      </c>
      <c r="K98" s="8">
        <v>364</v>
      </c>
      <c r="L98" s="8">
        <v>395</v>
      </c>
      <c r="M98" s="8">
        <v>410</v>
      </c>
      <c r="N98" s="8">
        <v>456</v>
      </c>
      <c r="O98" s="8">
        <v>355</v>
      </c>
      <c r="P98" s="8">
        <v>370</v>
      </c>
      <c r="Q98" s="8">
        <v>364</v>
      </c>
      <c r="R98" s="8">
        <v>417</v>
      </c>
      <c r="S98" s="8">
        <v>335</v>
      </c>
      <c r="T98" s="8">
        <v>361</v>
      </c>
      <c r="U98" s="8">
        <v>389.97103213507535</v>
      </c>
      <c r="V98" s="8">
        <v>448.13076390549276</v>
      </c>
      <c r="W98" s="8">
        <v>363.45555375871311</v>
      </c>
      <c r="X98" s="8">
        <v>400.63444135618698</v>
      </c>
      <c r="Y98" s="8">
        <v>431.41310554399416</v>
      </c>
      <c r="Z98" s="8">
        <v>495.91875285046848</v>
      </c>
      <c r="AA98" s="8">
        <v>407.64867877154126</v>
      </c>
      <c r="AB98" s="8">
        <v>445.09361565072993</v>
      </c>
      <c r="AC98" s="8">
        <v>477.68420492258008</v>
      </c>
    </row>
    <row r="99" spans="1:29" x14ac:dyDescent="0.2">
      <c r="A99" s="7" t="s">
        <v>23</v>
      </c>
      <c r="B99" s="3" t="s">
        <v>24</v>
      </c>
      <c r="C99" s="3" t="s">
        <v>25</v>
      </c>
      <c r="D99" s="3" t="s">
        <v>30</v>
      </c>
      <c r="E99" s="8">
        <v>7</v>
      </c>
      <c r="F99" s="8">
        <v>23</v>
      </c>
      <c r="G99" s="8">
        <v>-10</v>
      </c>
      <c r="H99" s="8">
        <v>-23</v>
      </c>
      <c r="I99" s="8">
        <v>37</v>
      </c>
      <c r="J99" s="8">
        <v>58</v>
      </c>
      <c r="K99" s="8">
        <v>25</v>
      </c>
      <c r="L99" s="8">
        <v>61</v>
      </c>
      <c r="M99" s="8">
        <v>62</v>
      </c>
      <c r="N99" s="8">
        <v>81</v>
      </c>
      <c r="O99" s="8">
        <v>64</v>
      </c>
      <c r="P99" s="8">
        <v>83</v>
      </c>
      <c r="Q99" s="8">
        <v>35</v>
      </c>
      <c r="R99" s="8">
        <v>101</v>
      </c>
      <c r="S99" s="8">
        <v>50</v>
      </c>
      <c r="T99" s="8">
        <v>85</v>
      </c>
      <c r="U99" s="8">
        <v>93.834243847781039</v>
      </c>
      <c r="V99" s="8">
        <v>126.50930242041609</v>
      </c>
      <c r="W99" s="8">
        <v>76.471193891866747</v>
      </c>
      <c r="X99" s="8">
        <v>108.70937901008642</v>
      </c>
      <c r="Y99" s="8">
        <v>118.72088790278671</v>
      </c>
      <c r="Z99" s="8">
        <v>154.89742249691739</v>
      </c>
      <c r="AA99" s="8">
        <v>109.84127286250141</v>
      </c>
      <c r="AB99" s="8">
        <v>151.93217921616537</v>
      </c>
      <c r="AC99" s="8">
        <v>169.30074311321377</v>
      </c>
    </row>
    <row r="100" spans="1:29" x14ac:dyDescent="0.2">
      <c r="A100" s="7" t="s">
        <v>114</v>
      </c>
      <c r="B100" s="3" t="s">
        <v>115</v>
      </c>
      <c r="C100" s="3" t="s">
        <v>116</v>
      </c>
      <c r="D100" s="3" t="s">
        <v>30</v>
      </c>
      <c r="E100" s="8">
        <v>2</v>
      </c>
      <c r="F100" s="8">
        <v>5.0999999999999996</v>
      </c>
      <c r="G100" s="8">
        <v>-3</v>
      </c>
      <c r="H100" s="8">
        <v>-5.7</v>
      </c>
      <c r="I100" s="8">
        <v>8.3000000000000007</v>
      </c>
      <c r="J100" s="8">
        <v>11.6</v>
      </c>
      <c r="K100" s="8">
        <v>6.4</v>
      </c>
      <c r="L100" s="8">
        <v>13</v>
      </c>
      <c r="M100" s="8">
        <v>13.1</v>
      </c>
      <c r="N100" s="8">
        <v>15.1</v>
      </c>
      <c r="O100" s="8">
        <v>15.3</v>
      </c>
      <c r="P100" s="8">
        <v>18.3</v>
      </c>
      <c r="Q100" s="8">
        <v>18.399999999999999</v>
      </c>
      <c r="R100" s="8">
        <v>19.5</v>
      </c>
      <c r="S100" s="8">
        <v>13</v>
      </c>
      <c r="T100" s="8">
        <v>19.100000000000001</v>
      </c>
      <c r="U100" s="8">
        <v>19.408160238756398</v>
      </c>
      <c r="V100" s="8">
        <v>22.103875086858114</v>
      </c>
      <c r="W100" s="8">
        <v>17.299962312177914</v>
      </c>
      <c r="X100" s="8">
        <v>21.342022715213233</v>
      </c>
      <c r="Y100" s="8">
        <v>21.598596028337766</v>
      </c>
      <c r="Z100" s="8">
        <v>23.943574577637293</v>
      </c>
      <c r="AA100" s="8">
        <v>21.213602530378175</v>
      </c>
      <c r="AB100" s="8">
        <v>25.369605163004685</v>
      </c>
      <c r="AC100" s="8">
        <v>26.101833337165292</v>
      </c>
    </row>
    <row r="101" spans="1:29" x14ac:dyDescent="0.2">
      <c r="A101" s="7" t="s">
        <v>14</v>
      </c>
      <c r="B101" s="3"/>
      <c r="C101" s="3"/>
      <c r="D101" s="3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">
      <c r="A102" s="7" t="s">
        <v>118</v>
      </c>
      <c r="B102" s="3"/>
      <c r="C102" s="3"/>
      <c r="D102" s="3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">
      <c r="A103" s="7" t="s">
        <v>11</v>
      </c>
      <c r="B103" s="3"/>
      <c r="C103" s="3"/>
      <c r="D103" s="3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">
      <c r="A104" s="7" t="s">
        <v>119</v>
      </c>
      <c r="B104" s="3" t="s">
        <v>17</v>
      </c>
      <c r="C104" s="3" t="s">
        <v>18</v>
      </c>
      <c r="D104" s="3" t="s">
        <v>120</v>
      </c>
      <c r="E104" s="8">
        <v>1252</v>
      </c>
      <c r="F104" s="8">
        <v>1297</v>
      </c>
      <c r="G104" s="8">
        <v>1189</v>
      </c>
      <c r="H104" s="8">
        <v>1251</v>
      </c>
      <c r="I104" s="8">
        <v>1330</v>
      </c>
      <c r="J104" s="8">
        <v>1456</v>
      </c>
      <c r="K104" s="8">
        <v>1394</v>
      </c>
      <c r="L104" s="8">
        <v>1469</v>
      </c>
      <c r="M104" s="8">
        <v>1577</v>
      </c>
      <c r="N104" s="8">
        <v>1697</v>
      </c>
      <c r="O104" s="8">
        <v>1650</v>
      </c>
      <c r="P104" s="8">
        <v>1592</v>
      </c>
      <c r="Q104" s="8">
        <v>1587</v>
      </c>
      <c r="R104" s="8">
        <v>1641</v>
      </c>
      <c r="S104" s="8">
        <v>1592</v>
      </c>
      <c r="T104" s="8">
        <v>1734</v>
      </c>
      <c r="U104" s="8">
        <v>1863.1150210786204</v>
      </c>
      <c r="V104" s="8">
        <v>1959.6860432173519</v>
      </c>
      <c r="W104" s="8">
        <v>1894.149733801265</v>
      </c>
      <c r="X104" s="8">
        <v>2105.497672146329</v>
      </c>
      <c r="Y104" s="8">
        <v>2145.3437391104985</v>
      </c>
      <c r="Z104" s="8">
        <v>2165.2641839092271</v>
      </c>
      <c r="AA104" s="8">
        <v>2141.3223891603293</v>
      </c>
      <c r="AB104" s="8">
        <v>2245.0467067825957</v>
      </c>
      <c r="AC104" s="8">
        <v>2299.2132520423002</v>
      </c>
    </row>
    <row r="105" spans="1:29" x14ac:dyDescent="0.2">
      <c r="A105" s="7" t="s">
        <v>121</v>
      </c>
      <c r="B105" s="3" t="s">
        <v>17</v>
      </c>
      <c r="C105" s="3" t="s">
        <v>18</v>
      </c>
      <c r="D105" s="3" t="s">
        <v>122</v>
      </c>
      <c r="E105" s="8">
        <v>279</v>
      </c>
      <c r="F105" s="8">
        <v>288</v>
      </c>
      <c r="G105" s="8">
        <v>283</v>
      </c>
      <c r="H105" s="8">
        <v>293</v>
      </c>
      <c r="I105" s="8">
        <v>314</v>
      </c>
      <c r="J105" s="8">
        <v>341</v>
      </c>
      <c r="K105" s="8">
        <v>336</v>
      </c>
      <c r="L105" s="8">
        <v>356</v>
      </c>
      <c r="M105" s="8">
        <v>385</v>
      </c>
      <c r="N105" s="8">
        <v>405</v>
      </c>
      <c r="O105" s="8">
        <v>398</v>
      </c>
      <c r="P105" s="8" t="s">
        <v>526</v>
      </c>
      <c r="Q105" s="8" t="s">
        <v>526</v>
      </c>
      <c r="R105" s="8" t="s">
        <v>526</v>
      </c>
      <c r="S105" s="8" t="s">
        <v>526</v>
      </c>
      <c r="T105" s="8" t="s">
        <v>526</v>
      </c>
      <c r="U105" s="8">
        <v>407.14329233880812</v>
      </c>
      <c r="V105" s="8">
        <v>418.16828025831205</v>
      </c>
      <c r="W105" s="8">
        <v>433.96230252856515</v>
      </c>
      <c r="X105" s="8">
        <v>454.22144562160634</v>
      </c>
      <c r="Y105" s="8">
        <v>471.68990284220689</v>
      </c>
      <c r="Z105" s="8">
        <v>488.54786730513575</v>
      </c>
      <c r="AA105" s="8" t="s">
        <v>526</v>
      </c>
      <c r="AB105" s="8" t="s">
        <v>526</v>
      </c>
      <c r="AC105" s="8" t="s">
        <v>526</v>
      </c>
    </row>
    <row r="106" spans="1:29" x14ac:dyDescent="0.2">
      <c r="A106" s="7" t="s">
        <v>123</v>
      </c>
      <c r="B106" s="3" t="s">
        <v>17</v>
      </c>
      <c r="C106" s="3" t="s">
        <v>18</v>
      </c>
      <c r="D106" s="3" t="s">
        <v>124</v>
      </c>
      <c r="E106" s="8">
        <v>2</v>
      </c>
      <c r="F106" s="8">
        <v>1</v>
      </c>
      <c r="G106" s="8">
        <v>2</v>
      </c>
      <c r="H106" s="8">
        <v>2</v>
      </c>
      <c r="I106" s="8">
        <v>2</v>
      </c>
      <c r="J106" s="8">
        <v>3</v>
      </c>
      <c r="K106" s="8">
        <v>2</v>
      </c>
      <c r="L106" s="8">
        <v>2</v>
      </c>
      <c r="M106" s="8">
        <v>2</v>
      </c>
      <c r="N106" s="8">
        <v>3</v>
      </c>
      <c r="O106" s="8">
        <v>3</v>
      </c>
      <c r="P106" s="8">
        <v>3</v>
      </c>
      <c r="Q106" s="8">
        <v>3</v>
      </c>
      <c r="R106" s="8">
        <v>4</v>
      </c>
      <c r="S106" s="8">
        <v>3</v>
      </c>
      <c r="T106" s="8">
        <v>4</v>
      </c>
      <c r="U106" s="8">
        <v>3.4249790228677797</v>
      </c>
      <c r="V106" s="8">
        <v>4.0392781858313231</v>
      </c>
      <c r="W106" s="8">
        <v>3.5498555802642344</v>
      </c>
      <c r="X106" s="8">
        <v>3.6715160778743305</v>
      </c>
      <c r="Y106" s="8">
        <v>3.7576609739150628</v>
      </c>
      <c r="Z106" s="8">
        <v>4.2072524735045986</v>
      </c>
      <c r="AA106" s="8">
        <v>4.0351552559553951</v>
      </c>
      <c r="AB106" s="8">
        <v>4.230615653484791</v>
      </c>
      <c r="AC106" s="8">
        <v>4.3326882890244356</v>
      </c>
    </row>
    <row r="107" spans="1:29" x14ac:dyDescent="0.2">
      <c r="A107" s="7" t="s">
        <v>100</v>
      </c>
      <c r="B107" s="3" t="s">
        <v>17</v>
      </c>
      <c r="C107" s="3" t="s">
        <v>18</v>
      </c>
      <c r="D107" s="3" t="s">
        <v>90</v>
      </c>
      <c r="E107" s="8">
        <v>1503</v>
      </c>
      <c r="F107" s="8">
        <v>1580</v>
      </c>
      <c r="G107" s="8">
        <v>1568</v>
      </c>
      <c r="H107" s="8">
        <v>1631</v>
      </c>
      <c r="I107" s="8">
        <v>1711</v>
      </c>
      <c r="J107" s="8">
        <v>1871</v>
      </c>
      <c r="K107" s="8">
        <v>1904</v>
      </c>
      <c r="L107" s="8">
        <v>1980</v>
      </c>
      <c r="M107" s="8">
        <v>2024</v>
      </c>
      <c r="N107" s="8">
        <v>2137</v>
      </c>
      <c r="O107" s="8">
        <v>2139</v>
      </c>
      <c r="P107" s="8">
        <v>2598</v>
      </c>
      <c r="Q107" s="8">
        <v>2682</v>
      </c>
      <c r="R107" s="8">
        <v>2886</v>
      </c>
      <c r="S107" s="8">
        <v>2938</v>
      </c>
      <c r="T107" s="8">
        <v>3039</v>
      </c>
      <c r="U107" s="8">
        <v>2987.4854327325834</v>
      </c>
      <c r="V107" s="8">
        <v>3133.0287206669982</v>
      </c>
      <c r="W107" s="8">
        <v>3151.3225975386244</v>
      </c>
      <c r="X107" s="8">
        <v>3193.4799847918966</v>
      </c>
      <c r="Y107" s="8">
        <v>3325.78601636443</v>
      </c>
      <c r="Z107" s="8">
        <v>3542.4074434311747</v>
      </c>
      <c r="AA107" s="8">
        <v>3951.7620473323182</v>
      </c>
      <c r="AB107" s="8">
        <v>4143.1829299794399</v>
      </c>
      <c r="AC107" s="8">
        <v>4243.1460643845985</v>
      </c>
    </row>
    <row r="108" spans="1:29" x14ac:dyDescent="0.2">
      <c r="A108" s="7" t="s">
        <v>14</v>
      </c>
      <c r="B108" s="3"/>
      <c r="C108" s="3"/>
      <c r="D108" s="3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">
      <c r="A109" s="7" t="s">
        <v>125</v>
      </c>
      <c r="B109" s="3"/>
      <c r="C109" s="3"/>
      <c r="D109" s="3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">
      <c r="A110" s="7" t="s">
        <v>126</v>
      </c>
      <c r="B110" s="3" t="s">
        <v>12</v>
      </c>
      <c r="C110" s="3" t="s">
        <v>13</v>
      </c>
      <c r="D110" s="3"/>
      <c r="E110" s="8">
        <v>3036</v>
      </c>
      <c r="F110" s="8">
        <v>3166</v>
      </c>
      <c r="G110" s="8">
        <v>3042</v>
      </c>
      <c r="H110" s="8">
        <v>3177</v>
      </c>
      <c r="I110" s="8">
        <v>3357</v>
      </c>
      <c r="J110" s="8">
        <v>3671</v>
      </c>
      <c r="K110" s="8">
        <v>3636</v>
      </c>
      <c r="L110" s="8">
        <v>3807</v>
      </c>
      <c r="M110" s="8">
        <v>3988</v>
      </c>
      <c r="N110" s="8">
        <v>4242</v>
      </c>
      <c r="O110" s="8">
        <v>4190</v>
      </c>
      <c r="P110" s="8">
        <v>4193</v>
      </c>
      <c r="Q110" s="8">
        <v>4272</v>
      </c>
      <c r="R110" s="8">
        <v>4531</v>
      </c>
      <c r="S110" s="8">
        <v>4533</v>
      </c>
      <c r="T110" s="8">
        <v>4777</v>
      </c>
      <c r="U110" s="8">
        <v>4986.6875</v>
      </c>
      <c r="V110" s="8">
        <v>5253.03125</v>
      </c>
      <c r="W110" s="8">
        <v>5247.7368421052624</v>
      </c>
      <c r="X110" s="8">
        <v>5471.105263157895</v>
      </c>
      <c r="Y110" s="8">
        <v>5688.2352941176468</v>
      </c>
      <c r="Z110" s="8">
        <v>5982.5294117647054</v>
      </c>
      <c r="AA110" s="8">
        <v>6068.1428571428578</v>
      </c>
      <c r="AB110" s="8">
        <v>6311.4285714285716</v>
      </c>
      <c r="AC110" s="8">
        <v>6531.2857142857138</v>
      </c>
    </row>
    <row r="111" spans="1:29" x14ac:dyDescent="0.2">
      <c r="A111" s="7" t="s">
        <v>127</v>
      </c>
      <c r="B111" s="3" t="s">
        <v>128</v>
      </c>
      <c r="C111" s="3" t="s">
        <v>129</v>
      </c>
      <c r="D111" s="3"/>
      <c r="E111" s="8">
        <v>12</v>
      </c>
      <c r="F111" s="8">
        <v>12</v>
      </c>
      <c r="G111" s="8">
        <v>13</v>
      </c>
      <c r="H111" s="8">
        <v>14</v>
      </c>
      <c r="I111" s="8">
        <v>17</v>
      </c>
      <c r="J111" s="8">
        <v>20</v>
      </c>
      <c r="K111" s="8">
        <v>21</v>
      </c>
      <c r="L111" s="8">
        <v>21</v>
      </c>
      <c r="M111" s="8">
        <v>21</v>
      </c>
      <c r="N111" s="8">
        <v>17</v>
      </c>
      <c r="O111" s="8">
        <v>15</v>
      </c>
      <c r="P111" s="8">
        <v>15</v>
      </c>
      <c r="Q111" s="8">
        <v>12</v>
      </c>
      <c r="R111" s="8">
        <v>13</v>
      </c>
      <c r="S111" s="8">
        <v>15</v>
      </c>
      <c r="T111" s="8">
        <v>15</v>
      </c>
      <c r="U111" s="8">
        <v>15.514697104877508</v>
      </c>
      <c r="V111" s="8">
        <v>14.375881102544676</v>
      </c>
      <c r="W111" s="8">
        <v>14.672163568529852</v>
      </c>
      <c r="X111" s="8">
        <v>13.985157814544865</v>
      </c>
      <c r="Y111" s="8">
        <v>13.976580317440881</v>
      </c>
      <c r="Z111" s="8">
        <v>13.880609347817673</v>
      </c>
      <c r="AA111" s="8">
        <v>15.125812216361515</v>
      </c>
      <c r="AB111" s="8">
        <v>14.625484272918349</v>
      </c>
      <c r="AC111" s="8">
        <v>14.104851729556088</v>
      </c>
    </row>
    <row r="112" spans="1:29" x14ac:dyDescent="0.2">
      <c r="A112" s="7" t="s">
        <v>14</v>
      </c>
      <c r="B112" s="3"/>
      <c r="C112" s="3"/>
      <c r="D112" s="3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">
      <c r="A113" s="7" t="s">
        <v>130</v>
      </c>
      <c r="B113" s="3" t="s">
        <v>21</v>
      </c>
      <c r="C113" s="3" t="s">
        <v>22</v>
      </c>
      <c r="D113" s="3"/>
      <c r="E113" s="8">
        <v>2286</v>
      </c>
      <c r="F113" s="8">
        <v>2365</v>
      </c>
      <c r="G113" s="8">
        <v>2276</v>
      </c>
      <c r="H113" s="8">
        <v>2411</v>
      </c>
      <c r="I113" s="8">
        <v>2472</v>
      </c>
      <c r="J113" s="8">
        <v>2691</v>
      </c>
      <c r="K113" s="8">
        <v>2632</v>
      </c>
      <c r="L113" s="8">
        <v>2695</v>
      </c>
      <c r="M113" s="8">
        <v>2748</v>
      </c>
      <c r="N113" s="8">
        <v>2874</v>
      </c>
      <c r="O113" s="8">
        <v>2864</v>
      </c>
      <c r="P113" s="8">
        <v>2873</v>
      </c>
      <c r="Q113" s="8">
        <v>2921</v>
      </c>
      <c r="R113" s="8">
        <v>3032</v>
      </c>
      <c r="S113" s="8">
        <v>3038</v>
      </c>
      <c r="T113" s="8">
        <v>3181</v>
      </c>
      <c r="U113" s="8">
        <v>3343.5511746740663</v>
      </c>
      <c r="V113" s="8">
        <v>3470.8146380045127</v>
      </c>
      <c r="W113" s="8">
        <v>3468.8192085258656</v>
      </c>
      <c r="X113" s="8">
        <v>3603.7482320851354</v>
      </c>
      <c r="Y113" s="8">
        <v>3767.6075165666448</v>
      </c>
      <c r="Z113" s="8">
        <v>3907.6883719312514</v>
      </c>
      <c r="AA113" s="8">
        <v>3919.2018328470017</v>
      </c>
      <c r="AB113" s="8">
        <v>4056.7810985967621</v>
      </c>
      <c r="AC113" s="8">
        <v>4225.2899191896395</v>
      </c>
    </row>
    <row r="114" spans="1:29" x14ac:dyDescent="0.2">
      <c r="A114" s="7" t="s">
        <v>131</v>
      </c>
      <c r="B114" s="3" t="s">
        <v>132</v>
      </c>
      <c r="C114" s="3" t="s">
        <v>133</v>
      </c>
      <c r="D114" s="3"/>
      <c r="E114" s="8">
        <v>75.296442687747032</v>
      </c>
      <c r="F114" s="8">
        <v>74.699936828806074</v>
      </c>
      <c r="G114" s="8">
        <v>74.819197896120968</v>
      </c>
      <c r="H114" s="8">
        <v>75.889203651243307</v>
      </c>
      <c r="I114" s="8">
        <v>73.637176050044687</v>
      </c>
      <c r="J114" s="8">
        <v>73.304276763824575</v>
      </c>
      <c r="K114" s="8">
        <v>72.387238723872386</v>
      </c>
      <c r="L114" s="8">
        <v>70.790648804833197</v>
      </c>
      <c r="M114" s="8">
        <v>68.906720160481456</v>
      </c>
      <c r="N114" s="8">
        <v>67.751060820367741</v>
      </c>
      <c r="O114" s="8">
        <v>68.353221957040574</v>
      </c>
      <c r="P114" s="8">
        <v>68.518960171714767</v>
      </c>
      <c r="Q114" s="8">
        <v>68.375468164794</v>
      </c>
      <c r="R114" s="8">
        <v>66.9167954094019</v>
      </c>
      <c r="S114" s="8">
        <v>67.01963379660269</v>
      </c>
      <c r="T114" s="8">
        <v>66.589909985346452</v>
      </c>
      <c r="U114" s="8">
        <v>67.001169523296582</v>
      </c>
      <c r="V114" s="8">
        <v>66.044370940065747</v>
      </c>
      <c r="W114" s="8">
        <v>66.068155685279379</v>
      </c>
      <c r="X114" s="8">
        <v>65.716397562279468</v>
      </c>
      <c r="Y114" s="8">
        <v>65.970326007589321</v>
      </c>
      <c r="Z114" s="8">
        <v>64.966625651102859</v>
      </c>
      <c r="AA114" s="8">
        <v>64.586446074010212</v>
      </c>
      <c r="AB114" s="8">
        <v>64.274656731708674</v>
      </c>
      <c r="AC114" s="8">
        <v>64.686917535741159</v>
      </c>
    </row>
    <row r="115" spans="1:29" x14ac:dyDescent="0.2">
      <c r="A115" s="7" t="s">
        <v>134</v>
      </c>
      <c r="B115" s="3" t="s">
        <v>135</v>
      </c>
      <c r="C115" s="3" t="s">
        <v>136</v>
      </c>
      <c r="D115" s="3"/>
      <c r="E115" s="8" t="s">
        <v>526</v>
      </c>
      <c r="F115" s="8" t="s">
        <v>526</v>
      </c>
      <c r="G115" s="8" t="s">
        <v>526</v>
      </c>
      <c r="H115" s="8" t="s">
        <v>526</v>
      </c>
      <c r="I115" s="8" t="s">
        <v>526</v>
      </c>
      <c r="J115" s="8" t="s">
        <v>526</v>
      </c>
      <c r="K115" s="8" t="s">
        <v>526</v>
      </c>
      <c r="L115" s="8" t="s">
        <v>526</v>
      </c>
      <c r="M115" s="8" t="s">
        <v>526</v>
      </c>
      <c r="N115" s="8" t="s">
        <v>526</v>
      </c>
      <c r="O115" s="8" t="s">
        <v>526</v>
      </c>
      <c r="P115" s="8" t="s">
        <v>526</v>
      </c>
      <c r="Q115" s="8" t="s">
        <v>526</v>
      </c>
      <c r="R115" s="8" t="s">
        <v>526</v>
      </c>
      <c r="S115" s="8" t="s">
        <v>526</v>
      </c>
      <c r="T115" s="8" t="s">
        <v>526</v>
      </c>
      <c r="U115" s="8">
        <v>13.346395114161396</v>
      </c>
      <c r="V115" s="8">
        <v>31.108102137700257</v>
      </c>
      <c r="W115" s="8">
        <v>45.69191348998919</v>
      </c>
      <c r="X115" s="8">
        <v>47.040027077407785</v>
      </c>
      <c r="Y115" s="8">
        <v>57.819789748179687</v>
      </c>
      <c r="Z115" s="8">
        <v>79.993110131794538</v>
      </c>
      <c r="AA115" s="8">
        <v>57.203574093912266</v>
      </c>
      <c r="AB115" s="8">
        <v>58.520527577084692</v>
      </c>
      <c r="AC115" s="8">
        <v>64.465267273165864</v>
      </c>
    </row>
    <row r="116" spans="1:29" x14ac:dyDescent="0.2">
      <c r="A116" s="7" t="s">
        <v>137</v>
      </c>
      <c r="B116" s="3" t="s">
        <v>138</v>
      </c>
      <c r="C116" s="3" t="s">
        <v>139</v>
      </c>
      <c r="D116" s="3"/>
      <c r="E116" s="8">
        <v>2</v>
      </c>
      <c r="F116" s="8">
        <v>2</v>
      </c>
      <c r="G116" s="8">
        <v>2</v>
      </c>
      <c r="H116" s="8">
        <v>1</v>
      </c>
      <c r="I116" s="8">
        <v>2</v>
      </c>
      <c r="J116" s="8" t="s">
        <v>526</v>
      </c>
      <c r="K116" s="8">
        <v>1</v>
      </c>
      <c r="L116" s="8">
        <v>2</v>
      </c>
      <c r="M116" s="8">
        <v>1</v>
      </c>
      <c r="N116" s="8">
        <v>1</v>
      </c>
      <c r="O116" s="8" t="s">
        <v>526</v>
      </c>
      <c r="P116" s="8">
        <v>1</v>
      </c>
      <c r="Q116" s="8">
        <v>1</v>
      </c>
      <c r="R116" s="8">
        <v>2</v>
      </c>
      <c r="S116" s="8">
        <v>1</v>
      </c>
      <c r="T116" s="8" t="s">
        <v>526</v>
      </c>
      <c r="U116" s="8">
        <v>1.286169455995376</v>
      </c>
      <c r="V116" s="8">
        <v>1.9717632774913478</v>
      </c>
      <c r="W116" s="8">
        <v>1.2596293996042196</v>
      </c>
      <c r="X116" s="8">
        <v>1.221623175834279</v>
      </c>
      <c r="Y116" s="8">
        <v>1.2643125967528055</v>
      </c>
      <c r="Z116" s="8">
        <v>1.8187241295507006</v>
      </c>
      <c r="AA116" s="8">
        <v>1.6631410167520446</v>
      </c>
      <c r="AB116" s="8">
        <v>1.4040444987571672</v>
      </c>
      <c r="AC116" s="8">
        <v>1.501231700471592</v>
      </c>
    </row>
    <row r="117" spans="1:29" x14ac:dyDescent="0.2">
      <c r="A117" s="7" t="s">
        <v>140</v>
      </c>
      <c r="B117" s="3" t="s">
        <v>24</v>
      </c>
      <c r="C117" s="3" t="s">
        <v>25</v>
      </c>
      <c r="D117" s="3"/>
      <c r="E117" s="8">
        <v>750</v>
      </c>
      <c r="F117" s="8">
        <v>801</v>
      </c>
      <c r="G117" s="8">
        <v>766</v>
      </c>
      <c r="H117" s="8">
        <v>766</v>
      </c>
      <c r="I117" s="8">
        <v>885</v>
      </c>
      <c r="J117" s="8">
        <v>980</v>
      </c>
      <c r="K117" s="8">
        <v>1004</v>
      </c>
      <c r="L117" s="8">
        <v>1112</v>
      </c>
      <c r="M117" s="8">
        <v>1240</v>
      </c>
      <c r="N117" s="8">
        <v>1368</v>
      </c>
      <c r="O117" s="8">
        <v>1326</v>
      </c>
      <c r="P117" s="8">
        <v>1320</v>
      </c>
      <c r="Q117" s="8">
        <v>1351</v>
      </c>
      <c r="R117" s="8">
        <v>1499</v>
      </c>
      <c r="S117" s="8">
        <v>1495</v>
      </c>
      <c r="T117" s="8">
        <v>1596</v>
      </c>
      <c r="U117" s="8">
        <v>1643.0711974840308</v>
      </c>
      <c r="V117" s="8">
        <v>1781.9965847845508</v>
      </c>
      <c r="W117" s="8">
        <v>1781.9559199785988</v>
      </c>
      <c r="X117" s="8">
        <v>1873.4516623978579</v>
      </c>
      <c r="Y117" s="8">
        <v>1930.5977559725623</v>
      </c>
      <c r="Z117" s="8">
        <v>2089.4606575490893</v>
      </c>
      <c r="AA117" s="8">
        <v>2149.3009533092882</v>
      </c>
      <c r="AB117" s="8">
        <v>2254.9507831557657</v>
      </c>
      <c r="AC117" s="8">
        <v>2306.0380936955094</v>
      </c>
    </row>
    <row r="118" spans="1:29" x14ac:dyDescent="0.2">
      <c r="A118" s="7" t="s">
        <v>141</v>
      </c>
      <c r="B118" s="3" t="s">
        <v>55</v>
      </c>
      <c r="C118" s="3" t="s">
        <v>56</v>
      </c>
      <c r="D118" s="3"/>
      <c r="E118" s="8">
        <v>24.7</v>
      </c>
      <c r="F118" s="8">
        <v>25.3</v>
      </c>
      <c r="G118" s="8">
        <v>25.2</v>
      </c>
      <c r="H118" s="8">
        <v>25.5</v>
      </c>
      <c r="I118" s="8">
        <v>26.4</v>
      </c>
      <c r="J118" s="8">
        <v>26.7</v>
      </c>
      <c r="K118" s="8">
        <v>27.6</v>
      </c>
      <c r="L118" s="8">
        <v>29.2</v>
      </c>
      <c r="M118" s="8">
        <v>31.1</v>
      </c>
      <c r="N118" s="8">
        <v>32.200000000000003</v>
      </c>
      <c r="O118" s="8">
        <v>31.6</v>
      </c>
      <c r="P118" s="8">
        <v>31.5</v>
      </c>
      <c r="Q118" s="8">
        <v>31.6</v>
      </c>
      <c r="R118" s="8">
        <v>33.1</v>
      </c>
      <c r="S118" s="8">
        <v>33</v>
      </c>
      <c r="T118" s="8">
        <v>33.4</v>
      </c>
      <c r="U118" s="8">
        <v>32.915132016613008</v>
      </c>
      <c r="V118" s="8">
        <v>33.926556016817912</v>
      </c>
      <c r="W118" s="8">
        <v>33.992459973635107</v>
      </c>
      <c r="X118" s="8">
        <v>34.254076789649346</v>
      </c>
      <c r="Y118" s="8">
        <v>33.935795298827564</v>
      </c>
      <c r="Z118" s="8">
        <v>34.909059912889873</v>
      </c>
      <c r="AA118" s="8">
        <v>35.407340613971357</v>
      </c>
      <c r="AB118" s="8">
        <v>35.720543476238504</v>
      </c>
      <c r="AC118" s="8">
        <v>35.308018807284817</v>
      </c>
    </row>
    <row r="119" spans="1:29" x14ac:dyDescent="0.2">
      <c r="A119" s="7" t="s">
        <v>14</v>
      </c>
      <c r="B119" s="3"/>
      <c r="C119" s="3"/>
      <c r="D119" s="3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">
      <c r="A120" s="7" t="s">
        <v>142</v>
      </c>
      <c r="B120" s="3" t="s">
        <v>143</v>
      </c>
      <c r="C120" s="3" t="s">
        <v>144</v>
      </c>
      <c r="D120" s="3"/>
      <c r="E120" s="8">
        <v>978</v>
      </c>
      <c r="F120" s="8">
        <v>1032</v>
      </c>
      <c r="G120" s="8">
        <v>922</v>
      </c>
      <c r="H120" s="8">
        <v>1013</v>
      </c>
      <c r="I120" s="8">
        <v>853</v>
      </c>
      <c r="J120" s="8">
        <v>1055</v>
      </c>
      <c r="K120" s="8">
        <v>836</v>
      </c>
      <c r="L120" s="8">
        <v>846</v>
      </c>
      <c r="M120" s="8">
        <v>786</v>
      </c>
      <c r="N120" s="8">
        <v>891</v>
      </c>
      <c r="O120" s="8">
        <v>817</v>
      </c>
      <c r="P120" s="8">
        <v>914</v>
      </c>
      <c r="Q120" s="8">
        <v>769</v>
      </c>
      <c r="R120" s="8">
        <v>798</v>
      </c>
      <c r="S120" s="8">
        <v>780</v>
      </c>
      <c r="T120" s="8">
        <v>941</v>
      </c>
      <c r="U120" s="8">
        <v>961.83305972622713</v>
      </c>
      <c r="V120" s="8">
        <v>957.66913885137421</v>
      </c>
      <c r="W120" s="8">
        <v>884.12130298651493</v>
      </c>
      <c r="X120" s="8">
        <v>994.56136267623503</v>
      </c>
      <c r="Y120" s="8">
        <v>996.44523423634041</v>
      </c>
      <c r="Z120" s="8">
        <v>1023.125955258603</v>
      </c>
      <c r="AA120" s="8">
        <v>986.54276238283728</v>
      </c>
      <c r="AB120" s="8">
        <v>1134.1891411368131</v>
      </c>
      <c r="AC120" s="8">
        <v>1121.419794565566</v>
      </c>
    </row>
    <row r="121" spans="1:29" x14ac:dyDescent="0.2">
      <c r="A121" s="7" t="s">
        <v>145</v>
      </c>
      <c r="B121" s="3" t="s">
        <v>146</v>
      </c>
      <c r="C121" s="3" t="s">
        <v>147</v>
      </c>
      <c r="D121" s="3"/>
      <c r="E121" s="8">
        <v>32.213438735177867</v>
      </c>
      <c r="F121" s="8">
        <v>32.596336070751732</v>
      </c>
      <c r="G121" s="8">
        <v>30.309007232084156</v>
      </c>
      <c r="H121" s="8">
        <v>31.885426502990242</v>
      </c>
      <c r="I121" s="8">
        <v>25.409591897527555</v>
      </c>
      <c r="J121" s="8">
        <v>28.738763279760281</v>
      </c>
      <c r="K121" s="8">
        <v>22.992299229922992</v>
      </c>
      <c r="L121" s="8">
        <v>22.222222222222221</v>
      </c>
      <c r="M121" s="8">
        <v>19.709127382146438</v>
      </c>
      <c r="N121" s="8">
        <v>21.004243281471005</v>
      </c>
      <c r="O121" s="8">
        <v>19.498806682577566</v>
      </c>
      <c r="P121" s="8">
        <v>21.798235153827807</v>
      </c>
      <c r="Q121" s="8">
        <v>18.000936329588015</v>
      </c>
      <c r="R121" s="8">
        <v>17.612006179651292</v>
      </c>
      <c r="S121" s="8">
        <v>17.207147584381204</v>
      </c>
      <c r="T121" s="8">
        <v>19.698555578815157</v>
      </c>
      <c r="U121" s="8">
        <v>19.280849571499541</v>
      </c>
      <c r="V121" s="8">
        <v>18.316121185692552</v>
      </c>
      <c r="W121" s="8">
        <v>16.74269940583557</v>
      </c>
      <c r="X121" s="8">
        <v>18.374758376508289</v>
      </c>
      <c r="Y121" s="8">
        <v>17.807064083523706</v>
      </c>
      <c r="Z121" s="8">
        <v>17.386771780142944</v>
      </c>
      <c r="AA121" s="8">
        <v>16.034117265711554</v>
      </c>
      <c r="AB121" s="8">
        <v>18.151421623547115</v>
      </c>
      <c r="AC121" s="8">
        <v>17.199352652613197</v>
      </c>
    </row>
    <row r="122" spans="1:29" x14ac:dyDescent="0.2">
      <c r="A122" s="7" t="s">
        <v>148</v>
      </c>
      <c r="B122" s="3" t="s">
        <v>149</v>
      </c>
      <c r="C122" s="3" t="s">
        <v>150</v>
      </c>
      <c r="D122" s="3"/>
      <c r="E122" s="8">
        <v>386</v>
      </c>
      <c r="F122" s="8">
        <v>415</v>
      </c>
      <c r="G122" s="8">
        <v>435</v>
      </c>
      <c r="H122" s="8">
        <v>453</v>
      </c>
      <c r="I122" s="8">
        <v>369</v>
      </c>
      <c r="J122" s="8">
        <v>468</v>
      </c>
      <c r="K122" s="8">
        <v>389</v>
      </c>
      <c r="L122" s="8">
        <v>379</v>
      </c>
      <c r="M122" s="8">
        <v>342</v>
      </c>
      <c r="N122" s="8">
        <v>376</v>
      </c>
      <c r="O122" s="8">
        <v>379</v>
      </c>
      <c r="P122" s="8">
        <v>415</v>
      </c>
      <c r="Q122" s="8">
        <v>309</v>
      </c>
      <c r="R122" s="8">
        <v>290</v>
      </c>
      <c r="S122" s="8">
        <v>331</v>
      </c>
      <c r="T122" s="8">
        <v>403</v>
      </c>
      <c r="U122" s="8">
        <v>414.15836412373574</v>
      </c>
      <c r="V122" s="8">
        <v>402.36384098315983</v>
      </c>
      <c r="W122" s="8">
        <v>393.65576025867949</v>
      </c>
      <c r="X122" s="8">
        <v>434.02781298277546</v>
      </c>
      <c r="Y122" s="8">
        <v>434.34751356081335</v>
      </c>
      <c r="Z122" s="8">
        <v>432.35796198808305</v>
      </c>
      <c r="AA122" s="8">
        <v>456.30832425583429</v>
      </c>
      <c r="AB122" s="8">
        <v>498.41035874171757</v>
      </c>
      <c r="AC122" s="8">
        <v>498.12515606383568</v>
      </c>
    </row>
    <row r="123" spans="1:29" x14ac:dyDescent="0.2">
      <c r="A123" s="7" t="s">
        <v>145</v>
      </c>
      <c r="B123" s="3" t="s">
        <v>151</v>
      </c>
      <c r="C123" s="3" t="s">
        <v>152</v>
      </c>
      <c r="D123" s="3"/>
      <c r="E123" s="8">
        <v>12.714097496706191</v>
      </c>
      <c r="F123" s="8">
        <v>13.108022741629815</v>
      </c>
      <c r="G123" s="8">
        <v>14.299802761341224</v>
      </c>
      <c r="H123" s="8">
        <v>14.258734655335223</v>
      </c>
      <c r="I123" s="8">
        <v>10.991957104557642</v>
      </c>
      <c r="J123" s="8">
        <v>12.74856987196949</v>
      </c>
      <c r="K123" s="8">
        <v>10.698569856985699</v>
      </c>
      <c r="L123" s="8">
        <v>9.9553454163383233</v>
      </c>
      <c r="M123" s="8">
        <v>8.5757271815446341</v>
      </c>
      <c r="N123" s="8">
        <v>8.8637435172088637</v>
      </c>
      <c r="O123" s="8">
        <v>9.0453460620525057</v>
      </c>
      <c r="P123" s="8">
        <v>9.8974481278321012</v>
      </c>
      <c r="Q123" s="8">
        <v>7.2331460674157295</v>
      </c>
      <c r="R123" s="8">
        <v>6.4003531229309196</v>
      </c>
      <c r="S123" s="8">
        <v>7.302007500551511</v>
      </c>
      <c r="T123" s="8">
        <v>8.4362570651036215</v>
      </c>
      <c r="U123" s="8">
        <v>8.322709645440856</v>
      </c>
      <c r="V123" s="8">
        <v>7.6816272453126713</v>
      </c>
      <c r="W123" s="8">
        <v>7.4049270379342147</v>
      </c>
      <c r="X123" s="8">
        <v>7.8902852645151098</v>
      </c>
      <c r="Y123" s="8">
        <v>7.6095702059927337</v>
      </c>
      <c r="Z123" s="8">
        <v>7.2161581214560044</v>
      </c>
      <c r="AA123" s="8">
        <v>7.2803294731509327</v>
      </c>
      <c r="AB123" s="8">
        <v>7.7362435344130516</v>
      </c>
      <c r="AC123" s="8">
        <v>7.5779182055479382</v>
      </c>
    </row>
    <row r="124" spans="1:29" x14ac:dyDescent="0.2">
      <c r="A124" s="7" t="s">
        <v>153</v>
      </c>
      <c r="B124" s="3" t="s">
        <v>154</v>
      </c>
      <c r="C124" s="3" t="s">
        <v>155</v>
      </c>
      <c r="D124" s="3"/>
      <c r="E124" s="8">
        <v>432</v>
      </c>
      <c r="F124" s="8">
        <v>453</v>
      </c>
      <c r="G124" s="8">
        <v>347</v>
      </c>
      <c r="H124" s="8">
        <v>399</v>
      </c>
      <c r="I124" s="8">
        <v>355</v>
      </c>
      <c r="J124" s="8">
        <v>432</v>
      </c>
      <c r="K124" s="8">
        <v>324</v>
      </c>
      <c r="L124" s="8">
        <v>343</v>
      </c>
      <c r="M124" s="8">
        <v>332</v>
      </c>
      <c r="N124" s="8">
        <v>393</v>
      </c>
      <c r="O124" s="8">
        <v>314</v>
      </c>
      <c r="P124" s="8">
        <v>364</v>
      </c>
      <c r="Q124" s="8">
        <v>349</v>
      </c>
      <c r="R124" s="8">
        <v>399</v>
      </c>
      <c r="S124" s="8">
        <v>342</v>
      </c>
      <c r="T124" s="8">
        <v>390</v>
      </c>
      <c r="U124" s="8">
        <v>414.97713099965222</v>
      </c>
      <c r="V124" s="8">
        <v>426.96522120136194</v>
      </c>
      <c r="W124" s="8">
        <v>373.35850832136441</v>
      </c>
      <c r="X124" s="8">
        <v>415.54629087749993</v>
      </c>
      <c r="Y124" s="8">
        <v>430.93317714367259</v>
      </c>
      <c r="Z124" s="8">
        <v>474.26724975595522</v>
      </c>
      <c r="AA124" s="8">
        <v>409.72794695822853</v>
      </c>
      <c r="AB124" s="8">
        <v>462.57788959772461</v>
      </c>
      <c r="AC124" s="8">
        <v>477.38323497461442</v>
      </c>
    </row>
    <row r="125" spans="1:29" x14ac:dyDescent="0.2">
      <c r="A125" s="7" t="s">
        <v>156</v>
      </c>
      <c r="B125" s="3" t="s">
        <v>157</v>
      </c>
      <c r="C125" s="3" t="s">
        <v>158</v>
      </c>
      <c r="D125" s="3"/>
      <c r="E125" s="8" t="s">
        <v>526</v>
      </c>
      <c r="F125" s="8" t="s">
        <v>526</v>
      </c>
      <c r="G125" s="8" t="s">
        <v>526</v>
      </c>
      <c r="H125" s="8" t="s">
        <v>526</v>
      </c>
      <c r="I125" s="8" t="s">
        <v>526</v>
      </c>
      <c r="J125" s="8" t="s">
        <v>526</v>
      </c>
      <c r="K125" s="8" t="s">
        <v>526</v>
      </c>
      <c r="L125" s="8" t="s">
        <v>526</v>
      </c>
      <c r="M125" s="8" t="s">
        <v>526</v>
      </c>
      <c r="N125" s="8" t="s">
        <v>526</v>
      </c>
      <c r="O125" s="8" t="s">
        <v>526</v>
      </c>
      <c r="P125" s="8" t="s">
        <v>526</v>
      </c>
      <c r="Q125" s="8" t="s">
        <v>526</v>
      </c>
      <c r="R125" s="8" t="s">
        <v>526</v>
      </c>
      <c r="S125" s="8" t="s">
        <v>526</v>
      </c>
      <c r="T125" s="8" t="s">
        <v>526</v>
      </c>
      <c r="U125" s="8">
        <v>9.2499999999999995E-6</v>
      </c>
      <c r="V125" s="8">
        <v>9.0500000000000014E-6</v>
      </c>
      <c r="W125" s="8">
        <v>9.3899999999999999E-6</v>
      </c>
      <c r="X125" s="8">
        <v>9.3899999999999999E-6</v>
      </c>
      <c r="Y125" s="8">
        <v>9.2499999999999995E-6</v>
      </c>
      <c r="Z125" s="8">
        <v>9.0500000000000014E-6</v>
      </c>
      <c r="AA125" s="8" t="s">
        <v>526</v>
      </c>
      <c r="AB125" s="8" t="s">
        <v>526</v>
      </c>
      <c r="AC125" s="8" t="s">
        <v>526</v>
      </c>
    </row>
    <row r="126" spans="1:29" x14ac:dyDescent="0.2">
      <c r="A126" s="7" t="s">
        <v>159</v>
      </c>
      <c r="B126" s="3" t="s">
        <v>160</v>
      </c>
      <c r="C126" s="3" t="s">
        <v>161</v>
      </c>
      <c r="D126" s="3"/>
      <c r="E126" s="8">
        <v>160</v>
      </c>
      <c r="F126" s="8">
        <v>164</v>
      </c>
      <c r="G126" s="8">
        <v>140</v>
      </c>
      <c r="H126" s="8">
        <v>161</v>
      </c>
      <c r="I126" s="8">
        <v>129</v>
      </c>
      <c r="J126" s="8">
        <v>155</v>
      </c>
      <c r="K126" s="8">
        <v>123</v>
      </c>
      <c r="L126" s="8">
        <v>124</v>
      </c>
      <c r="M126" s="8">
        <v>112</v>
      </c>
      <c r="N126" s="8">
        <v>122</v>
      </c>
      <c r="O126" s="8">
        <v>124</v>
      </c>
      <c r="P126" s="8">
        <v>135</v>
      </c>
      <c r="Q126" s="8">
        <v>111</v>
      </c>
      <c r="R126" s="8">
        <v>109</v>
      </c>
      <c r="S126" s="8">
        <v>107</v>
      </c>
      <c r="T126" s="8">
        <v>148</v>
      </c>
      <c r="U126" s="8">
        <v>134.42618492554865</v>
      </c>
      <c r="V126" s="8">
        <v>131.87601334746398</v>
      </c>
      <c r="W126" s="8">
        <v>130.88241814281352</v>
      </c>
      <c r="X126" s="8">
        <v>147.56527225371528</v>
      </c>
      <c r="Y126" s="8">
        <v>141.05275930716894</v>
      </c>
      <c r="Z126" s="8">
        <v>132.42459168045102</v>
      </c>
      <c r="AA126" s="8">
        <v>140.71844291662742</v>
      </c>
      <c r="AB126" s="8">
        <v>166.9568396300495</v>
      </c>
      <c r="AC126" s="8">
        <v>149.23891508246615</v>
      </c>
    </row>
    <row r="127" spans="1:29" x14ac:dyDescent="0.2">
      <c r="A127" s="7" t="s">
        <v>14</v>
      </c>
      <c r="B127" s="3"/>
      <c r="C127" s="3"/>
      <c r="D127" s="3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">
      <c r="A128" s="7" t="s">
        <v>162</v>
      </c>
      <c r="B128" s="3" t="s">
        <v>37</v>
      </c>
      <c r="C128" s="3" t="s">
        <v>38</v>
      </c>
      <c r="D128" s="3"/>
      <c r="E128" s="8">
        <v>-228</v>
      </c>
      <c r="F128" s="8">
        <v>-231</v>
      </c>
      <c r="G128" s="8">
        <v>-156</v>
      </c>
      <c r="H128" s="8">
        <v>-247</v>
      </c>
      <c r="I128" s="8">
        <v>32</v>
      </c>
      <c r="J128" s="8">
        <v>-75</v>
      </c>
      <c r="K128" s="8">
        <v>168</v>
      </c>
      <c r="L128" s="8">
        <v>266</v>
      </c>
      <c r="M128" s="8">
        <v>454</v>
      </c>
      <c r="N128" s="8">
        <v>477</v>
      </c>
      <c r="O128" s="8">
        <v>509</v>
      </c>
      <c r="P128" s="8">
        <v>406</v>
      </c>
      <c r="Q128" s="8">
        <v>582</v>
      </c>
      <c r="R128" s="8">
        <v>701</v>
      </c>
      <c r="S128" s="8">
        <v>715</v>
      </c>
      <c r="T128" s="8">
        <v>655</v>
      </c>
      <c r="U128" s="8">
        <v>674.42857142857144</v>
      </c>
      <c r="V128" s="8">
        <v>820.75862068965523</v>
      </c>
      <c r="W128" s="8">
        <v>899.55555555555554</v>
      </c>
      <c r="X128" s="8">
        <v>889.05555555555554</v>
      </c>
      <c r="Y128" s="8">
        <v>935.5625</v>
      </c>
      <c r="Z128" s="8">
        <v>1052.875</v>
      </c>
      <c r="AA128" s="8">
        <v>1156</v>
      </c>
      <c r="AB128" s="8">
        <v>1136.1428571428571</v>
      </c>
      <c r="AC128" s="8">
        <v>1189.4285714285716</v>
      </c>
    </row>
    <row r="129" spans="1:29" x14ac:dyDescent="0.2">
      <c r="A129" s="7" t="s">
        <v>163</v>
      </c>
      <c r="B129" s="3" t="s">
        <v>40</v>
      </c>
      <c r="C129" s="3" t="s">
        <v>41</v>
      </c>
      <c r="D129" s="3"/>
      <c r="E129" s="8">
        <v>-7.5098814229249005</v>
      </c>
      <c r="F129" s="8">
        <v>-7.2962728995578017</v>
      </c>
      <c r="G129" s="8">
        <v>-5.1282051282051277</v>
      </c>
      <c r="H129" s="8">
        <v>-7.7746301542335541</v>
      </c>
      <c r="I129" s="8">
        <v>0.95323205242776288</v>
      </c>
      <c r="J129" s="8">
        <v>-2.0430400435848544</v>
      </c>
      <c r="K129" s="8">
        <v>4.6204620462046204</v>
      </c>
      <c r="L129" s="8">
        <v>6.9871289729445758</v>
      </c>
      <c r="M129" s="8">
        <v>11.384152457372117</v>
      </c>
      <c r="N129" s="8">
        <v>11.244695898161245</v>
      </c>
      <c r="O129" s="8">
        <v>12.147971360381861</v>
      </c>
      <c r="P129" s="8">
        <v>9.6828046744574294</v>
      </c>
      <c r="Q129" s="8">
        <v>13.623595505617978</v>
      </c>
      <c r="R129" s="8">
        <v>15.47119841094681</v>
      </c>
      <c r="S129" s="8">
        <v>15.773218619016106</v>
      </c>
      <c r="T129" s="8">
        <v>13.711534435838393</v>
      </c>
      <c r="U129" s="8">
        <v>13.595730420444589</v>
      </c>
      <c r="V129" s="8">
        <v>15.621850212775241</v>
      </c>
      <c r="W129" s="8">
        <v>16.959511101772968</v>
      </c>
      <c r="X129" s="8">
        <v>16.123948765556996</v>
      </c>
      <c r="Y129" s="8">
        <v>16.369961721416605</v>
      </c>
      <c r="Z129" s="8">
        <v>17.688716772931485</v>
      </c>
      <c r="AA129" s="8">
        <v>19.050412002774689</v>
      </c>
      <c r="AB129" s="8">
        <v>17.993864825381895</v>
      </c>
      <c r="AC129" s="8">
        <v>18.21577948162534</v>
      </c>
    </row>
    <row r="130" spans="1:29" x14ac:dyDescent="0.2">
      <c r="A130" s="7" t="s">
        <v>14</v>
      </c>
      <c r="B130" s="3"/>
      <c r="C130" s="3"/>
      <c r="D130" s="3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">
      <c r="A131" s="7" t="s">
        <v>164</v>
      </c>
      <c r="B131" s="3" t="s">
        <v>165</v>
      </c>
      <c r="C131" s="3" t="s">
        <v>166</v>
      </c>
      <c r="D131" s="3"/>
      <c r="E131" s="8">
        <v>44</v>
      </c>
      <c r="F131" s="8">
        <v>50</v>
      </c>
      <c r="G131" s="8">
        <v>44</v>
      </c>
      <c r="H131" s="8">
        <v>44</v>
      </c>
      <c r="I131" s="8">
        <v>36</v>
      </c>
      <c r="J131" s="8">
        <v>34</v>
      </c>
      <c r="K131" s="8">
        <v>31</v>
      </c>
      <c r="L131" s="8">
        <v>30</v>
      </c>
      <c r="M131" s="8">
        <v>30</v>
      </c>
      <c r="N131" s="8">
        <v>30</v>
      </c>
      <c r="O131" s="8">
        <v>27</v>
      </c>
      <c r="P131" s="8">
        <v>26</v>
      </c>
      <c r="Q131" s="8">
        <v>24</v>
      </c>
      <c r="R131" s="8">
        <v>25</v>
      </c>
      <c r="S131" s="8">
        <v>26</v>
      </c>
      <c r="T131" s="8">
        <v>29</v>
      </c>
      <c r="U131" s="8">
        <v>29.203869399849982</v>
      </c>
      <c r="V131" s="8">
        <v>29.104810026234844</v>
      </c>
      <c r="W131" s="8">
        <v>28.730593134671427</v>
      </c>
      <c r="X131" s="8">
        <v>29.334356910401926</v>
      </c>
      <c r="Y131" s="8">
        <v>29.396916355640538</v>
      </c>
      <c r="Z131" s="8">
        <v>29.474738809733708</v>
      </c>
      <c r="AA131" s="8">
        <v>28.826142503393768</v>
      </c>
      <c r="AB131" s="8">
        <v>29.924137780176384</v>
      </c>
      <c r="AC131" s="8">
        <v>30.3256653306054</v>
      </c>
    </row>
    <row r="132" spans="1:29" x14ac:dyDescent="0.2">
      <c r="A132" s="7" t="s">
        <v>131</v>
      </c>
      <c r="B132" s="3" t="s">
        <v>167</v>
      </c>
      <c r="C132" s="3" t="s">
        <v>168</v>
      </c>
      <c r="D132" s="3"/>
      <c r="E132" s="8">
        <v>1.4492753623188406</v>
      </c>
      <c r="F132" s="8">
        <v>1.5792798483891344</v>
      </c>
      <c r="G132" s="8">
        <v>1.4464168310322156</v>
      </c>
      <c r="H132" s="8">
        <v>1.3849543594586087</v>
      </c>
      <c r="I132" s="8">
        <v>1.0723860589812333</v>
      </c>
      <c r="J132" s="8">
        <v>0.92617815309180063</v>
      </c>
      <c r="K132" s="8">
        <v>0.85258525852585265</v>
      </c>
      <c r="L132" s="8">
        <v>0.78802206461780921</v>
      </c>
      <c r="M132" s="8">
        <v>0.75225677031093274</v>
      </c>
      <c r="N132" s="8">
        <v>0.70721357850070721</v>
      </c>
      <c r="O132" s="8">
        <v>0.64439140811455842</v>
      </c>
      <c r="P132" s="8">
        <v>0.62008108752683044</v>
      </c>
      <c r="Q132" s="8">
        <v>0.5617977528089888</v>
      </c>
      <c r="R132" s="8">
        <v>0.55175457956301044</v>
      </c>
      <c r="S132" s="8">
        <v>0.5735715861460402</v>
      </c>
      <c r="T132" s="8">
        <v>0.6070755704416998</v>
      </c>
      <c r="U132" s="8">
        <v>0.60067204735460389</v>
      </c>
      <c r="V132" s="8">
        <v>0.56626282279306439</v>
      </c>
      <c r="W132" s="8">
        <v>0.51872750584389959</v>
      </c>
      <c r="X132" s="8">
        <v>0.50859841872497491</v>
      </c>
      <c r="Y132" s="8">
        <v>0.47464140456916859</v>
      </c>
      <c r="Z132" s="8">
        <v>0.44572476765733587</v>
      </c>
      <c r="AA132" s="8">
        <v>0.45048542487708937</v>
      </c>
      <c r="AB132" s="8">
        <v>0.45911319865574995</v>
      </c>
      <c r="AC132" s="8">
        <v>0.44642184405736424</v>
      </c>
    </row>
    <row r="133" spans="1:29" x14ac:dyDescent="0.2">
      <c r="A133" s="7" t="s">
        <v>169</v>
      </c>
      <c r="B133" s="3"/>
      <c r="C133" s="3"/>
      <c r="D133" s="3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">
      <c r="A134" s="7" t="s">
        <v>145</v>
      </c>
      <c r="B134" s="3" t="s">
        <v>170</v>
      </c>
      <c r="C134" s="3" t="s">
        <v>171</v>
      </c>
      <c r="D134" s="3"/>
      <c r="E134" s="8">
        <v>0.98814229249011865</v>
      </c>
      <c r="F134" s="8">
        <v>1.010739102969046</v>
      </c>
      <c r="G134" s="8">
        <v>1.0190664036817882</v>
      </c>
      <c r="H134" s="8">
        <v>0.94428706326723322</v>
      </c>
      <c r="I134" s="8">
        <v>0.77450104259755737</v>
      </c>
      <c r="J134" s="8">
        <v>0.62653228003268868</v>
      </c>
      <c r="K134" s="8">
        <v>0.60506050605060502</v>
      </c>
      <c r="L134" s="8">
        <v>0.55161544523246653</v>
      </c>
      <c r="M134" s="8">
        <v>0.526579739217653</v>
      </c>
      <c r="N134" s="8">
        <v>0.49504950495049505</v>
      </c>
      <c r="O134" s="8">
        <v>0.47732696897374705</v>
      </c>
      <c r="P134" s="8">
        <v>0.47698545194371567</v>
      </c>
      <c r="Q134" s="8">
        <v>0.44475655430711608</v>
      </c>
      <c r="R134" s="8">
        <v>0.44140366365040828</v>
      </c>
      <c r="S134" s="8">
        <v>0.44120891242003091</v>
      </c>
      <c r="T134" s="8">
        <v>0.50240736864140678</v>
      </c>
      <c r="U134" s="8">
        <v>0.39422026147056344</v>
      </c>
      <c r="V134" s="8">
        <v>0.37904908230125067</v>
      </c>
      <c r="W134" s="8">
        <v>0.38026814230329742</v>
      </c>
      <c r="X134" s="8">
        <v>0.40293589710378763</v>
      </c>
      <c r="Y134" s="8">
        <v>0.38026039481058604</v>
      </c>
      <c r="Z134" s="8">
        <v>0.35794344873780276</v>
      </c>
      <c r="AA134" s="8">
        <v>0.32116664823099145</v>
      </c>
      <c r="AB134" s="8">
        <v>0.3441947839261783</v>
      </c>
      <c r="AC134" s="8">
        <v>0.3313724405891485</v>
      </c>
    </row>
    <row r="135" spans="1:29" x14ac:dyDescent="0.2">
      <c r="A135" s="7" t="s">
        <v>172</v>
      </c>
      <c r="B135" s="3"/>
      <c r="C135" s="3"/>
      <c r="D135" s="3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">
      <c r="A136" s="7" t="s">
        <v>173</v>
      </c>
      <c r="B136" s="3" t="s">
        <v>174</v>
      </c>
      <c r="C136" s="3" t="s">
        <v>175</v>
      </c>
      <c r="D136" s="3"/>
      <c r="E136" s="8">
        <v>-6.0606060606060606</v>
      </c>
      <c r="F136" s="8">
        <v>-5.7169930511686671</v>
      </c>
      <c r="G136" s="8">
        <v>-3.6817882971729126</v>
      </c>
      <c r="H136" s="8">
        <v>-6.389675794774945</v>
      </c>
      <c r="I136" s="8">
        <v>2.0256181114089959</v>
      </c>
      <c r="J136" s="8">
        <v>-1.1168618904930536</v>
      </c>
      <c r="K136" s="8">
        <v>5.4730473047304731</v>
      </c>
      <c r="L136" s="8">
        <v>7.7751510375623845</v>
      </c>
      <c r="M136" s="8">
        <v>12.13640922768305</v>
      </c>
      <c r="N136" s="8">
        <v>11.951909476661953</v>
      </c>
      <c r="O136" s="8">
        <v>12.792362768496421</v>
      </c>
      <c r="P136" s="8">
        <v>10.30288576198426</v>
      </c>
      <c r="Q136" s="8">
        <v>14.185393258426968</v>
      </c>
      <c r="R136" s="8">
        <v>16.022952990509822</v>
      </c>
      <c r="S136" s="8">
        <v>16.346790205162147</v>
      </c>
      <c r="T136" s="8">
        <v>14.318610006280091</v>
      </c>
      <c r="U136" s="8">
        <v>14.268336980341381</v>
      </c>
      <c r="V136" s="8">
        <v>16.425522477302632</v>
      </c>
      <c r="W136" s="8">
        <v>17.649979506664469</v>
      </c>
      <c r="X136" s="8">
        <v>16.596924855100195</v>
      </c>
      <c r="Y136" s="8">
        <v>16.819952999889082</v>
      </c>
      <c r="Z136" s="8">
        <v>17.948809789913703</v>
      </c>
      <c r="AA136" s="8">
        <v>19.816115248475416</v>
      </c>
      <c r="AB136" s="8">
        <v>18.33992960168074</v>
      </c>
      <c r="AC136" s="8">
        <v>18.636851187589492</v>
      </c>
    </row>
    <row r="137" spans="1:29" x14ac:dyDescent="0.2">
      <c r="A137" s="7" t="s">
        <v>14</v>
      </c>
      <c r="B137" s="3"/>
      <c r="C137" s="3"/>
      <c r="D137" s="3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">
      <c r="A138" s="7" t="s">
        <v>176</v>
      </c>
      <c r="B138" s="3" t="s">
        <v>177</v>
      </c>
      <c r="C138" s="3" t="s">
        <v>178</v>
      </c>
      <c r="D138" s="3"/>
      <c r="E138" s="8">
        <v>-84</v>
      </c>
      <c r="F138" s="8">
        <v>60</v>
      </c>
      <c r="G138" s="8">
        <v>50</v>
      </c>
      <c r="H138" s="8">
        <v>-6</v>
      </c>
      <c r="I138" s="8">
        <v>-41</v>
      </c>
      <c r="J138" s="8">
        <v>56</v>
      </c>
      <c r="K138" s="8">
        <v>-6</v>
      </c>
      <c r="L138" s="8">
        <v>-4</v>
      </c>
      <c r="M138" s="8">
        <v>56</v>
      </c>
      <c r="N138" s="8">
        <v>-22</v>
      </c>
      <c r="O138" s="8">
        <v>181</v>
      </c>
      <c r="P138" s="8">
        <v>358</v>
      </c>
      <c r="Q138" s="8">
        <v>-245</v>
      </c>
      <c r="R138" s="8">
        <v>-320</v>
      </c>
      <c r="S138" s="8">
        <v>-222</v>
      </c>
      <c r="T138" s="8">
        <v>-65</v>
      </c>
      <c r="U138" s="8">
        <v>-62.945786793713225</v>
      </c>
      <c r="V138" s="8">
        <v>-68.399958956856182</v>
      </c>
      <c r="W138" s="8">
        <v>-71.574716209788775</v>
      </c>
      <c r="X138" s="8">
        <v>-77.196146331992054</v>
      </c>
      <c r="Y138" s="8">
        <v>-77.337756629087423</v>
      </c>
      <c r="Z138" s="8">
        <v>-79.422863268287571</v>
      </c>
      <c r="AA138" s="8">
        <v>-81.690241517231001</v>
      </c>
      <c r="AB138" s="8">
        <v>-85.262092446459448</v>
      </c>
      <c r="AC138" s="8">
        <v>-91.62876187223867</v>
      </c>
    </row>
    <row r="139" spans="1:29" x14ac:dyDescent="0.2">
      <c r="A139" s="7" t="s">
        <v>179</v>
      </c>
      <c r="B139" s="3" t="s">
        <v>180</v>
      </c>
      <c r="C139" s="3" t="s">
        <v>181</v>
      </c>
      <c r="D139" s="3"/>
      <c r="E139" s="8">
        <v>11</v>
      </c>
      <c r="F139" s="8">
        <v>10</v>
      </c>
      <c r="G139" s="8">
        <v>10</v>
      </c>
      <c r="H139" s="8">
        <v>10</v>
      </c>
      <c r="I139" s="8">
        <v>9</v>
      </c>
      <c r="J139" s="8">
        <v>9</v>
      </c>
      <c r="K139" s="8">
        <v>9</v>
      </c>
      <c r="L139" s="8">
        <v>18</v>
      </c>
      <c r="M139" s="8">
        <v>9</v>
      </c>
      <c r="N139" s="8">
        <v>9</v>
      </c>
      <c r="O139" s="8" t="s">
        <v>526</v>
      </c>
      <c r="P139" s="8">
        <v>0</v>
      </c>
      <c r="Q139" s="8">
        <v>8</v>
      </c>
      <c r="R139" s="8">
        <v>7</v>
      </c>
      <c r="S139" s="8">
        <v>7</v>
      </c>
      <c r="T139" s="8" t="s">
        <v>526</v>
      </c>
      <c r="U139" s="8">
        <v>7.5</v>
      </c>
      <c r="V139" s="8">
        <v>7.5</v>
      </c>
      <c r="W139" s="8">
        <v>7.5</v>
      </c>
      <c r="X139" s="8">
        <v>7.5</v>
      </c>
      <c r="Y139" s="8">
        <v>7.5</v>
      </c>
      <c r="Z139" s="8">
        <v>7.5</v>
      </c>
      <c r="AA139" s="8">
        <v>7.5</v>
      </c>
      <c r="AB139" s="8">
        <v>7.5</v>
      </c>
      <c r="AC139" s="8">
        <v>7.5</v>
      </c>
    </row>
    <row r="140" spans="1:29" x14ac:dyDescent="0.2">
      <c r="A140" s="7" t="s">
        <v>182</v>
      </c>
      <c r="B140" s="3" t="s">
        <v>183</v>
      </c>
      <c r="C140" s="3" t="s">
        <v>184</v>
      </c>
      <c r="D140" s="3"/>
      <c r="E140" s="8">
        <v>15</v>
      </c>
      <c r="F140" s="8">
        <v>22</v>
      </c>
      <c r="G140" s="8">
        <v>26</v>
      </c>
      <c r="H140" s="8">
        <v>30</v>
      </c>
      <c r="I140" s="8">
        <v>34</v>
      </c>
      <c r="J140" s="8">
        <v>41</v>
      </c>
      <c r="K140" s="8">
        <v>45</v>
      </c>
      <c r="L140" s="8">
        <v>52</v>
      </c>
      <c r="M140" s="8">
        <v>61</v>
      </c>
      <c r="N140" s="8">
        <v>63</v>
      </c>
      <c r="O140" s="8" t="s">
        <v>526</v>
      </c>
      <c r="P140" s="8">
        <v>59</v>
      </c>
      <c r="Q140" s="8">
        <v>59</v>
      </c>
      <c r="R140" s="8">
        <v>58</v>
      </c>
      <c r="S140" s="8">
        <v>52</v>
      </c>
      <c r="T140" s="8" t="s">
        <v>526</v>
      </c>
      <c r="U140" s="8">
        <v>62.666425512989903</v>
      </c>
      <c r="V140" s="8">
        <v>67.893563569219594</v>
      </c>
      <c r="W140" s="8">
        <v>72.082807827604924</v>
      </c>
      <c r="X140" s="8">
        <v>80.562266768051288</v>
      </c>
      <c r="Y140" s="8">
        <v>89.192569966560484</v>
      </c>
      <c r="Z140" s="8">
        <v>98.315563837897784</v>
      </c>
      <c r="AA140" s="8">
        <v>107.96080780316666</v>
      </c>
      <c r="AB140" s="8">
        <v>118.56657278646958</v>
      </c>
      <c r="AC140" s="8">
        <v>128.62730327861019</v>
      </c>
    </row>
    <row r="141" spans="1:29" x14ac:dyDescent="0.2">
      <c r="A141" s="7" t="s">
        <v>185</v>
      </c>
      <c r="B141" s="3" t="s">
        <v>186</v>
      </c>
      <c r="C141" s="3" t="s">
        <v>187</v>
      </c>
      <c r="D141" s="3"/>
      <c r="E141" s="8">
        <v>-144</v>
      </c>
      <c r="F141" s="8">
        <v>-291</v>
      </c>
      <c r="G141" s="8">
        <v>-206</v>
      </c>
      <c r="H141" s="8">
        <v>-241</v>
      </c>
      <c r="I141" s="8">
        <v>73</v>
      </c>
      <c r="J141" s="8">
        <v>-131</v>
      </c>
      <c r="K141" s="8">
        <v>174</v>
      </c>
      <c r="L141" s="8">
        <v>270</v>
      </c>
      <c r="M141" s="8">
        <v>398</v>
      </c>
      <c r="N141" s="8">
        <v>499</v>
      </c>
      <c r="O141" s="8">
        <v>328</v>
      </c>
      <c r="P141" s="8">
        <v>48</v>
      </c>
      <c r="Q141" s="8">
        <v>827</v>
      </c>
      <c r="R141" s="8">
        <v>1021</v>
      </c>
      <c r="S141" s="8">
        <v>937</v>
      </c>
      <c r="T141" s="8">
        <v>720</v>
      </c>
      <c r="U141" s="8">
        <v>735.58620689655174</v>
      </c>
      <c r="V141" s="8">
        <v>878.9655172413793</v>
      </c>
      <c r="W141" s="8">
        <v>960.55555555555554</v>
      </c>
      <c r="X141" s="8">
        <v>960.83333333333337</v>
      </c>
      <c r="Y141" s="8">
        <v>1005.9411764705882</v>
      </c>
      <c r="Z141" s="8">
        <v>1141.5294117647059</v>
      </c>
      <c r="AA141" s="8">
        <v>1233.8571428571429</v>
      </c>
      <c r="AB141" s="8">
        <v>1217.8571428571429</v>
      </c>
      <c r="AC141" s="8">
        <v>1276.8571428571429</v>
      </c>
    </row>
    <row r="142" spans="1:29" x14ac:dyDescent="0.2">
      <c r="A142" s="7" t="s">
        <v>188</v>
      </c>
      <c r="B142" s="3" t="s">
        <v>189</v>
      </c>
      <c r="C142" s="3" t="s">
        <v>190</v>
      </c>
      <c r="D142" s="3"/>
      <c r="E142" s="8">
        <v>-4.7430830039525693</v>
      </c>
      <c r="F142" s="8">
        <v>-9.1914087176247623</v>
      </c>
      <c r="G142" s="8">
        <v>-6.7718606180144638</v>
      </c>
      <c r="H142" s="8">
        <v>-7.5857727415801071</v>
      </c>
      <c r="I142" s="8">
        <v>2.1745606196008342</v>
      </c>
      <c r="J142" s="8">
        <v>-3.5685099427948788</v>
      </c>
      <c r="K142" s="8">
        <v>4.7854785478547859</v>
      </c>
      <c r="L142" s="8">
        <v>7.0921985815602833</v>
      </c>
      <c r="M142" s="8">
        <v>9.9799398194583748</v>
      </c>
      <c r="N142" s="8">
        <v>11.763319189061763</v>
      </c>
      <c r="O142" s="8">
        <v>7.8281622911694511</v>
      </c>
      <c r="P142" s="8">
        <v>1.1447650846649178</v>
      </c>
      <c r="Q142" s="8">
        <v>19.358614232209739</v>
      </c>
      <c r="R142" s="8">
        <v>22.533657029353343</v>
      </c>
      <c r="S142" s="8">
        <v>20.670637546878446</v>
      </c>
      <c r="T142" s="8">
        <v>15.072221059242203</v>
      </c>
      <c r="U142" s="8">
        <v>15.06004079547656</v>
      </c>
      <c r="V142" s="8">
        <v>17.067107096344419</v>
      </c>
      <c r="W142" s="8">
        <v>17.869010669225034</v>
      </c>
      <c r="X142" s="8">
        <v>17.732924593313079</v>
      </c>
      <c r="Y142" s="8">
        <v>17.682353359996018</v>
      </c>
      <c r="Z142" s="8">
        <v>18.844125967922274</v>
      </c>
      <c r="AA142" s="8">
        <v>19.80872400007123</v>
      </c>
      <c r="AB142" s="8">
        <v>18.723571494645082</v>
      </c>
      <c r="AC142" s="8">
        <v>18.70888535708136</v>
      </c>
    </row>
    <row r="143" spans="1:29" x14ac:dyDescent="0.2">
      <c r="A143" s="7" t="s">
        <v>14</v>
      </c>
      <c r="B143" s="3"/>
      <c r="C143" s="3"/>
      <c r="D143" s="3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">
      <c r="A144" s="7" t="s">
        <v>191</v>
      </c>
      <c r="B144" s="3" t="s">
        <v>192</v>
      </c>
      <c r="C144" s="3" t="s">
        <v>193</v>
      </c>
      <c r="D144" s="3"/>
      <c r="E144" s="8">
        <v>22</v>
      </c>
      <c r="F144" s="8">
        <v>-21</v>
      </c>
      <c r="G144" s="8">
        <v>19</v>
      </c>
      <c r="H144" s="8">
        <v>61</v>
      </c>
      <c r="I144" s="8">
        <v>8</v>
      </c>
      <c r="J144" s="8">
        <v>-61</v>
      </c>
      <c r="K144" s="8">
        <v>-23</v>
      </c>
      <c r="L144" s="8">
        <v>-4</v>
      </c>
      <c r="M144" s="8">
        <v>98</v>
      </c>
      <c r="N144" s="8">
        <v>132</v>
      </c>
      <c r="O144" s="8">
        <v>103</v>
      </c>
      <c r="P144" s="8">
        <v>134</v>
      </c>
      <c r="Q144" s="8">
        <v>-72</v>
      </c>
      <c r="R144" s="8">
        <v>-153</v>
      </c>
      <c r="S144" s="8">
        <v>216</v>
      </c>
      <c r="T144" s="8">
        <v>175</v>
      </c>
      <c r="U144" s="8">
        <v>149.39655662079221</v>
      </c>
      <c r="V144" s="8">
        <v>171.65902228116849</v>
      </c>
      <c r="W144" s="8">
        <v>192.40265057915909</v>
      </c>
      <c r="X144" s="8">
        <v>191.4566435380342</v>
      </c>
      <c r="Y144" s="8">
        <v>198.56473557585559</v>
      </c>
      <c r="Z144" s="8">
        <v>234.32432362478684</v>
      </c>
      <c r="AA144" s="8">
        <v>244.82264009799084</v>
      </c>
      <c r="AB144" s="8">
        <v>240.06167006318304</v>
      </c>
      <c r="AC144" s="8">
        <v>254.99485888584996</v>
      </c>
    </row>
    <row r="145" spans="1:29" x14ac:dyDescent="0.2">
      <c r="A145" s="7" t="s">
        <v>194</v>
      </c>
      <c r="B145" s="3" t="s">
        <v>195</v>
      </c>
      <c r="C145" s="3" t="s">
        <v>196</v>
      </c>
      <c r="D145" s="3"/>
      <c r="E145" s="8" t="s">
        <v>526</v>
      </c>
      <c r="F145" s="8" t="s">
        <v>526</v>
      </c>
      <c r="G145" s="8" t="s">
        <v>526</v>
      </c>
      <c r="H145" s="8" t="s">
        <v>526</v>
      </c>
      <c r="I145" s="8">
        <v>10.95890410958904</v>
      </c>
      <c r="J145" s="8" t="s">
        <v>526</v>
      </c>
      <c r="K145" s="8" t="s">
        <v>526</v>
      </c>
      <c r="L145" s="8" t="s">
        <v>526</v>
      </c>
      <c r="M145" s="8">
        <v>24.623115577889447</v>
      </c>
      <c r="N145" s="8">
        <v>26.452905811623246</v>
      </c>
      <c r="O145" s="8">
        <v>31.402439024390244</v>
      </c>
      <c r="P145" s="8">
        <v>279.16666666666669</v>
      </c>
      <c r="Q145" s="8" t="s">
        <v>526</v>
      </c>
      <c r="R145" s="8" t="s">
        <v>526</v>
      </c>
      <c r="S145" s="8">
        <v>23.052294557097117</v>
      </c>
      <c r="T145" s="8">
        <v>24.305555555555557</v>
      </c>
      <c r="U145" s="8">
        <v>20.256000971294135</v>
      </c>
      <c r="V145" s="8">
        <v>19.254958823122465</v>
      </c>
      <c r="W145" s="8">
        <v>20.63529411764706</v>
      </c>
      <c r="X145" s="8">
        <v>20.629411764705882</v>
      </c>
      <c r="Y145" s="8">
        <v>20.629411764705882</v>
      </c>
      <c r="Z145" s="8">
        <v>21.585307949767916</v>
      </c>
      <c r="AA145" s="8">
        <v>22.685714285714287</v>
      </c>
      <c r="AB145" s="8">
        <v>22.685714285714287</v>
      </c>
      <c r="AC145" s="8">
        <v>22.685714285714287</v>
      </c>
    </row>
    <row r="146" spans="1:29" x14ac:dyDescent="0.2">
      <c r="A146" s="7" t="s">
        <v>197</v>
      </c>
      <c r="B146" s="3" t="s">
        <v>198</v>
      </c>
      <c r="C146" s="3" t="s">
        <v>199</v>
      </c>
      <c r="D146" s="3"/>
      <c r="E146" s="8">
        <v>-166</v>
      </c>
      <c r="F146" s="8">
        <v>-270</v>
      </c>
      <c r="G146" s="8">
        <v>-225</v>
      </c>
      <c r="H146" s="8">
        <v>-302</v>
      </c>
      <c r="I146" s="8">
        <v>65</v>
      </c>
      <c r="J146" s="8">
        <v>-70</v>
      </c>
      <c r="K146" s="8">
        <v>197</v>
      </c>
      <c r="L146" s="8">
        <v>274</v>
      </c>
      <c r="M146" s="8">
        <v>300</v>
      </c>
      <c r="N146" s="8">
        <v>367</v>
      </c>
      <c r="O146" s="8">
        <v>225</v>
      </c>
      <c r="P146" s="8">
        <v>-86</v>
      </c>
      <c r="Q146" s="8">
        <v>899</v>
      </c>
      <c r="R146" s="8">
        <v>1174</v>
      </c>
      <c r="S146" s="8">
        <v>721</v>
      </c>
      <c r="T146" s="8">
        <v>545</v>
      </c>
      <c r="U146" s="8">
        <v>584</v>
      </c>
      <c r="V146" s="8">
        <v>703.42307692307691</v>
      </c>
      <c r="W146" s="8">
        <v>762.16666666666663</v>
      </c>
      <c r="X146" s="8">
        <v>765</v>
      </c>
      <c r="Y146" s="8">
        <v>799.58333333333337</v>
      </c>
      <c r="Z146" s="8">
        <v>903.58333333333337</v>
      </c>
      <c r="AA146" s="8">
        <v>945.66666666666663</v>
      </c>
      <c r="AB146" s="8">
        <v>948.16666666666663</v>
      </c>
      <c r="AC146" s="8">
        <v>980.16666666666663</v>
      </c>
    </row>
    <row r="147" spans="1:29" x14ac:dyDescent="0.2">
      <c r="A147" s="7" t="s">
        <v>200</v>
      </c>
      <c r="B147" s="3" t="s">
        <v>201</v>
      </c>
      <c r="C147" s="3" t="s">
        <v>202</v>
      </c>
      <c r="D147" s="3"/>
      <c r="E147" s="8">
        <v>-5.4677206851119893</v>
      </c>
      <c r="F147" s="8">
        <v>-8.5281111813013268</v>
      </c>
      <c r="G147" s="8">
        <v>-7.3964497041420119</v>
      </c>
      <c r="H147" s="8">
        <v>-9.5058231035568159</v>
      </c>
      <c r="I147" s="8">
        <v>1.9362526064938934</v>
      </c>
      <c r="J147" s="8">
        <v>-1.9068373740125308</v>
      </c>
      <c r="K147" s="8">
        <v>5.4180418041804179</v>
      </c>
      <c r="L147" s="8">
        <v>7.1972681901759916</v>
      </c>
      <c r="M147" s="8">
        <v>7.5225677031093285</v>
      </c>
      <c r="N147" s="8">
        <v>8.6515794436586511</v>
      </c>
      <c r="O147" s="8">
        <v>5.3699284009546533</v>
      </c>
      <c r="P147" s="8">
        <v>-2.0510374433579774</v>
      </c>
      <c r="Q147" s="8">
        <v>21.044007490636705</v>
      </c>
      <c r="R147" s="8">
        <v>25.910395056278968</v>
      </c>
      <c r="S147" s="8">
        <v>15.905581292742113</v>
      </c>
      <c r="T147" s="8">
        <v>11.408833996231944</v>
      </c>
      <c r="U147" s="8">
        <v>11.818329448629875</v>
      </c>
      <c r="V147" s="8">
        <v>13.164149786149567</v>
      </c>
      <c r="W147" s="8">
        <v>14.423710423182071</v>
      </c>
      <c r="X147" s="8">
        <v>13.808968084415616</v>
      </c>
      <c r="Y147" s="8">
        <v>13.961102838408594</v>
      </c>
      <c r="Z147" s="8">
        <v>15.005635201688925</v>
      </c>
      <c r="AA147" s="8">
        <v>15.583292199261971</v>
      </c>
      <c r="AB147" s="8">
        <v>14.475070920609523</v>
      </c>
      <c r="AC147" s="8">
        <v>14.990807103680966</v>
      </c>
    </row>
    <row r="148" spans="1:29" x14ac:dyDescent="0.2">
      <c r="A148" s="7" t="s">
        <v>14</v>
      </c>
      <c r="B148" s="3"/>
      <c r="C148" s="3"/>
      <c r="D148" s="3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">
      <c r="A149" s="7" t="s">
        <v>203</v>
      </c>
      <c r="B149" s="3" t="s">
        <v>204</v>
      </c>
      <c r="C149" s="3" t="s">
        <v>205</v>
      </c>
      <c r="D149" s="3"/>
      <c r="E149" s="8">
        <v>196.858811</v>
      </c>
      <c r="F149" s="8">
        <v>193.29326900000001</v>
      </c>
      <c r="G149" s="8">
        <v>196.89363</v>
      </c>
      <c r="H149" s="8">
        <v>197.59362999999999</v>
      </c>
      <c r="I149" s="8">
        <v>194.88172299999999</v>
      </c>
      <c r="J149" s="8">
        <v>197.14338900000001</v>
      </c>
      <c r="K149" s="8">
        <v>202.25624199999999</v>
      </c>
      <c r="L149" s="8">
        <v>204.25624199999999</v>
      </c>
      <c r="M149" s="8">
        <v>202.07864499999999</v>
      </c>
      <c r="N149" s="8">
        <v>203.84440900000001</v>
      </c>
      <c r="O149" s="8">
        <v>203.84441000000001</v>
      </c>
      <c r="P149" s="8">
        <v>208.48521500000001</v>
      </c>
      <c r="Q149" s="8">
        <v>206.083709</v>
      </c>
      <c r="R149" s="8">
        <v>205.832527</v>
      </c>
      <c r="S149" s="8">
        <v>205.62006099999999</v>
      </c>
      <c r="T149" s="8">
        <v>205.832527</v>
      </c>
      <c r="U149" s="8">
        <v>208.11847550702592</v>
      </c>
      <c r="V149" s="8">
        <v>207.86579252295923</v>
      </c>
      <c r="W149" s="8">
        <v>207.48527204713602</v>
      </c>
      <c r="X149" s="8">
        <v>207.18818698888364</v>
      </c>
      <c r="Y149" s="8">
        <v>206.75256086295204</v>
      </c>
      <c r="Z149" s="8">
        <v>206.35518132137605</v>
      </c>
      <c r="AA149" s="8">
        <v>205.63559698906201</v>
      </c>
      <c r="AB149" s="8">
        <v>205.27228633505894</v>
      </c>
      <c r="AC149" s="8">
        <v>204.70455017690091</v>
      </c>
    </row>
    <row r="150" spans="1:29" x14ac:dyDescent="0.2">
      <c r="A150" s="7" t="s">
        <v>206</v>
      </c>
      <c r="B150" s="3" t="s">
        <v>207</v>
      </c>
      <c r="C150" s="3" t="s">
        <v>208</v>
      </c>
      <c r="D150" s="3"/>
      <c r="E150" s="8">
        <v>193.07733400000001</v>
      </c>
      <c r="F150" s="8">
        <v>193.228229</v>
      </c>
      <c r="G150" s="8">
        <v>193.56246200000001</v>
      </c>
      <c r="H150" s="8">
        <v>194.42012800000001</v>
      </c>
      <c r="I150" s="8">
        <v>194.88172299999999</v>
      </c>
      <c r="J150" s="8">
        <v>196.03608</v>
      </c>
      <c r="K150" s="8">
        <v>198.02545599999999</v>
      </c>
      <c r="L150" s="8">
        <v>199.959172</v>
      </c>
      <c r="M150" s="8">
        <v>201.575568</v>
      </c>
      <c r="N150" s="8">
        <v>202.90747999999999</v>
      </c>
      <c r="O150" s="8">
        <v>204.467927</v>
      </c>
      <c r="P150" s="8">
        <v>205.426999</v>
      </c>
      <c r="Q150" s="8">
        <v>205.96450400000001</v>
      </c>
      <c r="R150" s="8">
        <v>205.77198200000001</v>
      </c>
      <c r="S150" s="8">
        <v>205.71685299999999</v>
      </c>
      <c r="T150" s="8">
        <v>205.788241</v>
      </c>
      <c r="U150" s="8">
        <v>206.1236418024194</v>
      </c>
      <c r="V150" s="8">
        <v>206.10720940860031</v>
      </c>
      <c r="W150" s="8">
        <v>206.18575428674941</v>
      </c>
      <c r="X150" s="8">
        <v>206.04599792660045</v>
      </c>
      <c r="Y150" s="8">
        <v>206.02973907678296</v>
      </c>
      <c r="Z150" s="8">
        <v>205.80418340532515</v>
      </c>
      <c r="AA150" s="8">
        <v>203.0259328535017</v>
      </c>
      <c r="AB150" s="8">
        <v>202.51301144527397</v>
      </c>
      <c r="AC150" s="8">
        <v>201.81172710368176</v>
      </c>
    </row>
    <row r="151" spans="1:29" x14ac:dyDescent="0.2">
      <c r="A151" s="7" t="s">
        <v>209</v>
      </c>
      <c r="B151" s="3" t="s">
        <v>210</v>
      </c>
      <c r="C151" s="3" t="s">
        <v>211</v>
      </c>
      <c r="D151" s="3"/>
      <c r="E151" s="8">
        <v>-0.99</v>
      </c>
      <c r="F151" s="8">
        <v>-1.397311</v>
      </c>
      <c r="G151" s="8">
        <v>-1.1599999999999999</v>
      </c>
      <c r="H151" s="8">
        <v>-1.55</v>
      </c>
      <c r="I151" s="8">
        <v>0.33</v>
      </c>
      <c r="J151" s="8">
        <v>-0.36</v>
      </c>
      <c r="K151" s="8">
        <v>0.99</v>
      </c>
      <c r="L151" s="8">
        <v>1.37</v>
      </c>
      <c r="M151" s="8">
        <v>1.49</v>
      </c>
      <c r="N151" s="8">
        <v>1.81</v>
      </c>
      <c r="O151" s="8">
        <v>1.1000000000000001</v>
      </c>
      <c r="P151" s="8">
        <v>-0.42</v>
      </c>
      <c r="Q151" s="8">
        <v>4.3600000000000003</v>
      </c>
      <c r="R151" s="8">
        <v>5.7053440000000002</v>
      </c>
      <c r="S151" s="8">
        <v>3.5</v>
      </c>
      <c r="T151" s="8">
        <v>2.65</v>
      </c>
      <c r="U151" s="8">
        <v>2.9252902364745932</v>
      </c>
      <c r="V151" s="8">
        <v>3.363575643811096</v>
      </c>
      <c r="W151" s="8">
        <v>3.7950496536980594</v>
      </c>
      <c r="X151" s="8">
        <v>3.5354952496833092</v>
      </c>
      <c r="Y151" s="8">
        <v>4.0214661554171807</v>
      </c>
      <c r="Z151" s="8">
        <v>4.5434089191771596</v>
      </c>
      <c r="AA151" s="8">
        <v>4.792254227013153</v>
      </c>
      <c r="AB151" s="8">
        <v>4.3823526328596563</v>
      </c>
      <c r="AC151" s="8">
        <v>5.004569594689988</v>
      </c>
    </row>
    <row r="152" spans="1:29" x14ac:dyDescent="0.2">
      <c r="A152" s="7" t="s">
        <v>14</v>
      </c>
      <c r="B152" s="3"/>
      <c r="C152" s="3"/>
      <c r="D152" s="3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">
      <c r="A153" s="7" t="s">
        <v>212</v>
      </c>
      <c r="B153" s="3" t="s">
        <v>213</v>
      </c>
      <c r="C153" s="3" t="s">
        <v>214</v>
      </c>
      <c r="D153" s="3"/>
      <c r="E153" s="8">
        <v>195.988834</v>
      </c>
      <c r="F153" s="8">
        <v>193.228229</v>
      </c>
      <c r="G153" s="8">
        <v>193.56246200000001</v>
      </c>
      <c r="H153" s="8">
        <v>194.42012800000001</v>
      </c>
      <c r="I153" s="8">
        <v>198.01236900000001</v>
      </c>
      <c r="J153" s="8">
        <v>196.03608</v>
      </c>
      <c r="K153" s="8">
        <v>203.773043</v>
      </c>
      <c r="L153" s="8">
        <v>206.11985100000001</v>
      </c>
      <c r="M153" s="8">
        <v>207.39950099999999</v>
      </c>
      <c r="N153" s="8">
        <v>209.012505</v>
      </c>
      <c r="O153" s="8">
        <v>210.24347800000001</v>
      </c>
      <c r="P153" s="8">
        <v>205.426999</v>
      </c>
      <c r="Q153" s="8">
        <v>213.78973500000001</v>
      </c>
      <c r="R153" s="8">
        <v>212.49331799999999</v>
      </c>
      <c r="S153" s="8">
        <v>209.280449</v>
      </c>
      <c r="T153" s="8">
        <v>208.85846900000001</v>
      </c>
      <c r="U153" s="8">
        <v>209.20109083493219</v>
      </c>
      <c r="V153" s="8">
        <v>209.31285364693463</v>
      </c>
      <c r="W153" s="8">
        <v>209.03244839909024</v>
      </c>
      <c r="X153" s="8">
        <v>208.97639942029403</v>
      </c>
      <c r="Y153" s="8">
        <v>209.25225444759826</v>
      </c>
      <c r="Z153" s="8">
        <v>208.97862441191103</v>
      </c>
      <c r="AA153" s="8">
        <v>207.751511038568</v>
      </c>
      <c r="AB153" s="8">
        <v>207.55826695737099</v>
      </c>
      <c r="AC153" s="8">
        <v>207.20465895195434</v>
      </c>
    </row>
    <row r="154" spans="1:29" x14ac:dyDescent="0.2">
      <c r="A154" s="7" t="s">
        <v>209</v>
      </c>
      <c r="B154" s="3" t="s">
        <v>215</v>
      </c>
      <c r="C154" s="3" t="s">
        <v>216</v>
      </c>
      <c r="D154" s="3"/>
      <c r="E154" s="8">
        <v>-0.99</v>
      </c>
      <c r="F154" s="8">
        <v>-1.4</v>
      </c>
      <c r="G154" s="8">
        <v>-1.1599999999999999</v>
      </c>
      <c r="H154" s="8">
        <v>-1.55</v>
      </c>
      <c r="I154" s="8">
        <v>0.33</v>
      </c>
      <c r="J154" s="8">
        <v>-0.36</v>
      </c>
      <c r="K154" s="8">
        <v>0.97</v>
      </c>
      <c r="L154" s="8">
        <v>1.33</v>
      </c>
      <c r="M154" s="8">
        <v>1.45</v>
      </c>
      <c r="N154" s="8">
        <v>1.76</v>
      </c>
      <c r="O154" s="8">
        <v>1.07</v>
      </c>
      <c r="P154" s="8">
        <v>-0.42</v>
      </c>
      <c r="Q154" s="8">
        <v>3.28</v>
      </c>
      <c r="R154" s="8">
        <v>4.43</v>
      </c>
      <c r="S154" s="8">
        <v>3.45</v>
      </c>
      <c r="T154" s="8">
        <v>2.61</v>
      </c>
      <c r="U154" s="8">
        <v>2.8130434782608695</v>
      </c>
      <c r="V154" s="8">
        <v>3.3826086956521739</v>
      </c>
      <c r="W154" s="8">
        <v>3.7158333333333329</v>
      </c>
      <c r="X154" s="8">
        <v>3.7158333333333329</v>
      </c>
      <c r="Y154" s="8">
        <v>3.9033333333333338</v>
      </c>
      <c r="Z154" s="8">
        <v>4.4066666666666672</v>
      </c>
      <c r="AA154" s="8">
        <v>4.7180000000000009</v>
      </c>
      <c r="AB154" s="8">
        <v>4.7059999999999995</v>
      </c>
      <c r="AC154" s="8">
        <v>4.8660000000000005</v>
      </c>
    </row>
    <row r="155" spans="1:29" x14ac:dyDescent="0.2">
      <c r="A155" s="7" t="s">
        <v>14</v>
      </c>
      <c r="B155" s="3"/>
      <c r="C155" s="3"/>
      <c r="D155" s="3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">
      <c r="A156" s="7" t="s">
        <v>217</v>
      </c>
      <c r="B156" s="3"/>
      <c r="C156" s="3"/>
      <c r="D156" s="3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">
      <c r="A157" s="7" t="s">
        <v>148</v>
      </c>
      <c r="B157" s="3" t="s">
        <v>218</v>
      </c>
      <c r="C157" s="3" t="s">
        <v>219</v>
      </c>
      <c r="D157" s="3"/>
      <c r="E157" s="8" t="s">
        <v>526</v>
      </c>
      <c r="F157" s="8" t="s">
        <v>526</v>
      </c>
      <c r="G157" s="8" t="s">
        <v>526</v>
      </c>
      <c r="H157" s="8" t="s">
        <v>526</v>
      </c>
      <c r="I157" s="8" t="s">
        <v>526</v>
      </c>
      <c r="J157" s="8" t="s">
        <v>526</v>
      </c>
      <c r="K157" s="8" t="s">
        <v>526</v>
      </c>
      <c r="L157" s="8" t="s">
        <v>526</v>
      </c>
      <c r="M157" s="8" t="s">
        <v>526</v>
      </c>
      <c r="N157" s="8" t="s">
        <v>526</v>
      </c>
      <c r="O157" s="8" t="s">
        <v>526</v>
      </c>
      <c r="P157" s="8" t="s">
        <v>526</v>
      </c>
      <c r="Q157" s="8" t="s">
        <v>526</v>
      </c>
      <c r="R157" s="8" t="s">
        <v>526</v>
      </c>
      <c r="S157" s="8" t="s">
        <v>526</v>
      </c>
      <c r="T157" s="8" t="s">
        <v>526</v>
      </c>
      <c r="U157" s="8">
        <v>364.73853883680562</v>
      </c>
      <c r="V157" s="8">
        <v>375.37606562382126</v>
      </c>
      <c r="W157" s="8">
        <v>373.22587845441348</v>
      </c>
      <c r="X157" s="8">
        <v>394.25041509458492</v>
      </c>
      <c r="Y157" s="8">
        <v>398.9942822070339</v>
      </c>
      <c r="Z157" s="8">
        <v>425.62771948055297</v>
      </c>
      <c r="AA157" s="8">
        <v>424.82241183082328</v>
      </c>
      <c r="AB157" s="8">
        <v>487.54020684751902</v>
      </c>
      <c r="AC157" s="8">
        <v>515.10837507028668</v>
      </c>
    </row>
    <row r="158" spans="1:29" x14ac:dyDescent="0.2">
      <c r="A158" s="7" t="s">
        <v>220</v>
      </c>
      <c r="B158" s="3" t="s">
        <v>221</v>
      </c>
      <c r="C158" s="3" t="s">
        <v>222</v>
      </c>
      <c r="D158" s="3"/>
      <c r="E158" s="8">
        <v>432</v>
      </c>
      <c r="F158" s="8">
        <v>453</v>
      </c>
      <c r="G158" s="8">
        <v>347</v>
      </c>
      <c r="H158" s="8">
        <v>399</v>
      </c>
      <c r="I158" s="8">
        <v>355</v>
      </c>
      <c r="J158" s="8">
        <v>432</v>
      </c>
      <c r="K158" s="8">
        <v>324</v>
      </c>
      <c r="L158" s="8">
        <v>343</v>
      </c>
      <c r="M158" s="8">
        <v>332</v>
      </c>
      <c r="N158" s="8">
        <v>393</v>
      </c>
      <c r="O158" s="8">
        <v>314</v>
      </c>
      <c r="P158" s="8">
        <v>364</v>
      </c>
      <c r="Q158" s="8">
        <v>349</v>
      </c>
      <c r="R158" s="8">
        <v>399</v>
      </c>
      <c r="S158" s="8">
        <v>342</v>
      </c>
      <c r="T158" s="8">
        <v>390</v>
      </c>
      <c r="U158" s="8">
        <v>406.58095238095234</v>
      </c>
      <c r="V158" s="8">
        <v>398.38835464483049</v>
      </c>
      <c r="W158" s="8">
        <v>329.57142857142861</v>
      </c>
      <c r="X158" s="8">
        <v>375.67142857142858</v>
      </c>
      <c r="Y158" s="8">
        <v>379.5214285714286</v>
      </c>
      <c r="Z158" s="8">
        <v>399.32142857142861</v>
      </c>
      <c r="AA158" s="8" t="s">
        <v>526</v>
      </c>
      <c r="AB158" s="8" t="s">
        <v>526</v>
      </c>
      <c r="AC158" s="8" t="s">
        <v>526</v>
      </c>
    </row>
    <row r="159" spans="1:29" x14ac:dyDescent="0.2">
      <c r="A159" s="7" t="s">
        <v>223</v>
      </c>
      <c r="B159" s="3" t="s">
        <v>43</v>
      </c>
      <c r="C159" s="3" t="s">
        <v>44</v>
      </c>
      <c r="D159" s="3"/>
      <c r="E159" s="8">
        <v>-184</v>
      </c>
      <c r="F159" s="8">
        <v>-199</v>
      </c>
      <c r="G159" s="8">
        <v>-112</v>
      </c>
      <c r="H159" s="8">
        <v>-203</v>
      </c>
      <c r="I159" s="8">
        <v>58</v>
      </c>
      <c r="J159" s="8">
        <v>-41</v>
      </c>
      <c r="K159" s="8">
        <v>199</v>
      </c>
      <c r="L159" s="8">
        <v>296</v>
      </c>
      <c r="M159" s="8">
        <v>484</v>
      </c>
      <c r="N159" s="8">
        <v>507</v>
      </c>
      <c r="O159" s="8">
        <v>536</v>
      </c>
      <c r="P159" s="8">
        <v>432</v>
      </c>
      <c r="Q159" s="8">
        <v>606</v>
      </c>
      <c r="R159" s="8">
        <v>726</v>
      </c>
      <c r="S159" s="8">
        <v>741</v>
      </c>
      <c r="T159" s="8">
        <v>684</v>
      </c>
      <c r="U159" s="8">
        <v>716.41666666666663</v>
      </c>
      <c r="V159" s="8">
        <v>861</v>
      </c>
      <c r="W159" s="8">
        <v>935.07142857142856</v>
      </c>
      <c r="X159" s="8">
        <v>918.35714285714278</v>
      </c>
      <c r="Y159" s="8">
        <v>967.84615384615381</v>
      </c>
      <c r="Z159" s="8">
        <v>1083.8461538461538</v>
      </c>
      <c r="AA159" s="8">
        <v>1184</v>
      </c>
      <c r="AB159" s="8">
        <v>1165.2857142857144</v>
      </c>
      <c r="AC159" s="8">
        <v>1218.8571428571429</v>
      </c>
    </row>
    <row r="160" spans="1:29" x14ac:dyDescent="0.2">
      <c r="A160" s="7" t="s">
        <v>224</v>
      </c>
      <c r="B160" s="3" t="s">
        <v>225</v>
      </c>
      <c r="C160" s="3" t="s">
        <v>226</v>
      </c>
      <c r="D160" s="3"/>
      <c r="E160" s="8" t="s">
        <v>526</v>
      </c>
      <c r="F160" s="8" t="s">
        <v>526</v>
      </c>
      <c r="G160" s="8" t="s">
        <v>526</v>
      </c>
      <c r="H160" s="8" t="s">
        <v>526</v>
      </c>
      <c r="I160" s="8" t="s">
        <v>526</v>
      </c>
      <c r="J160" s="8" t="s">
        <v>526</v>
      </c>
      <c r="K160" s="8" t="s">
        <v>526</v>
      </c>
      <c r="L160" s="8" t="s">
        <v>526</v>
      </c>
      <c r="M160" s="8" t="s">
        <v>526</v>
      </c>
      <c r="N160" s="8" t="s">
        <v>526</v>
      </c>
      <c r="O160" s="8" t="s">
        <v>526</v>
      </c>
      <c r="P160" s="8" t="s">
        <v>526</v>
      </c>
      <c r="Q160" s="8" t="s">
        <v>526</v>
      </c>
      <c r="R160" s="8" t="s">
        <v>526</v>
      </c>
      <c r="S160" s="8" t="s">
        <v>526</v>
      </c>
      <c r="T160" s="8" t="s">
        <v>526</v>
      </c>
      <c r="U160" s="8">
        <v>15.813766591807207</v>
      </c>
      <c r="V160" s="8">
        <v>17.648202499673726</v>
      </c>
      <c r="W160" s="8">
        <v>19.171886115215532</v>
      </c>
      <c r="X160" s="8">
        <v>18.029684910706475</v>
      </c>
      <c r="Y160" s="8">
        <v>18.774290405743258</v>
      </c>
      <c r="Z160" s="8">
        <v>19.726628962171716</v>
      </c>
      <c r="AA160" s="8">
        <v>20.869461099559402</v>
      </c>
      <c r="AB160" s="8">
        <v>19.624893850559943</v>
      </c>
      <c r="AC160" s="8">
        <v>20.421970032520065</v>
      </c>
    </row>
    <row r="161" spans="1:29" x14ac:dyDescent="0.2">
      <c r="A161" s="7" t="s">
        <v>227</v>
      </c>
      <c r="B161" s="3" t="s">
        <v>46</v>
      </c>
      <c r="C161" s="3" t="s">
        <v>47</v>
      </c>
      <c r="D161" s="3"/>
      <c r="E161" s="8">
        <v>-166</v>
      </c>
      <c r="F161" s="8">
        <v>-270</v>
      </c>
      <c r="G161" s="8">
        <v>-225</v>
      </c>
      <c r="H161" s="8">
        <v>-302</v>
      </c>
      <c r="I161" s="8">
        <v>65</v>
      </c>
      <c r="J161" s="8">
        <v>-70</v>
      </c>
      <c r="K161" s="8">
        <v>197</v>
      </c>
      <c r="L161" s="8">
        <v>274</v>
      </c>
      <c r="M161" s="8">
        <v>300</v>
      </c>
      <c r="N161" s="8">
        <v>367</v>
      </c>
      <c r="O161" s="8">
        <v>225</v>
      </c>
      <c r="P161" s="8">
        <v>-86</v>
      </c>
      <c r="Q161" s="8">
        <v>899</v>
      </c>
      <c r="R161" s="8">
        <v>1174</v>
      </c>
      <c r="S161" s="8">
        <v>721</v>
      </c>
      <c r="T161" s="8">
        <v>545</v>
      </c>
      <c r="U161" s="8">
        <v>584.20689655172418</v>
      </c>
      <c r="V161" s="8">
        <v>702.82758620689651</v>
      </c>
      <c r="W161" s="8">
        <v>760.8888888888888</v>
      </c>
      <c r="X161" s="8">
        <v>761.16666666666663</v>
      </c>
      <c r="Y161" s="8">
        <v>797.88235294117646</v>
      </c>
      <c r="Z161" s="8">
        <v>894.58823529411768</v>
      </c>
      <c r="AA161" s="8">
        <v>953.71428571428578</v>
      </c>
      <c r="AB161" s="8">
        <v>941.42857142857144</v>
      </c>
      <c r="AC161" s="8">
        <v>987.14285714285722</v>
      </c>
    </row>
    <row r="162" spans="1:29" x14ac:dyDescent="0.2">
      <c r="A162" s="7" t="s">
        <v>228</v>
      </c>
      <c r="B162" s="3" t="s">
        <v>229</v>
      </c>
      <c r="C162" s="3" t="s">
        <v>230</v>
      </c>
      <c r="D162" s="3"/>
      <c r="E162" s="8">
        <v>-228</v>
      </c>
      <c r="F162" s="8">
        <v>-231</v>
      </c>
      <c r="G162" s="8">
        <v>-156</v>
      </c>
      <c r="H162" s="8">
        <v>-247</v>
      </c>
      <c r="I162" s="8">
        <v>32</v>
      </c>
      <c r="J162" s="8">
        <v>-75</v>
      </c>
      <c r="K162" s="8">
        <v>168</v>
      </c>
      <c r="L162" s="8">
        <v>266</v>
      </c>
      <c r="M162" s="8">
        <v>454</v>
      </c>
      <c r="N162" s="8">
        <v>477</v>
      </c>
      <c r="O162" s="8">
        <v>509</v>
      </c>
      <c r="P162" s="8">
        <v>406</v>
      </c>
      <c r="Q162" s="8">
        <v>582</v>
      </c>
      <c r="R162" s="8">
        <v>701</v>
      </c>
      <c r="S162" s="8">
        <v>715</v>
      </c>
      <c r="T162" s="8">
        <v>655</v>
      </c>
      <c r="U162" s="8">
        <v>597.10980051557408</v>
      </c>
      <c r="V162" s="8">
        <v>722.71008538644514</v>
      </c>
      <c r="W162" s="8">
        <v>787.70368811732737</v>
      </c>
      <c r="X162" s="8">
        <v>773.66422783905443</v>
      </c>
      <c r="Y162" s="8">
        <v>806.37191716433063</v>
      </c>
      <c r="Z162" s="8">
        <v>932.66462974930766</v>
      </c>
      <c r="AA162" s="8">
        <v>1012.8184187538212</v>
      </c>
      <c r="AB162" s="8">
        <v>993.89238644954082</v>
      </c>
      <c r="AC162" s="8">
        <v>1024.8639348686788</v>
      </c>
    </row>
    <row r="163" spans="1:29" x14ac:dyDescent="0.2">
      <c r="A163" s="7" t="s">
        <v>231</v>
      </c>
      <c r="B163" s="3" t="s">
        <v>9</v>
      </c>
      <c r="C163" s="3" t="s">
        <v>10</v>
      </c>
      <c r="D163" s="3"/>
      <c r="E163" s="8">
        <v>-0.99</v>
      </c>
      <c r="F163" s="8">
        <v>-1.4</v>
      </c>
      <c r="G163" s="8">
        <v>-1.1599999999999999</v>
      </c>
      <c r="H163" s="8">
        <v>-1.55</v>
      </c>
      <c r="I163" s="8">
        <v>0.33</v>
      </c>
      <c r="J163" s="8">
        <v>-0.36</v>
      </c>
      <c r="K163" s="8">
        <v>0.97</v>
      </c>
      <c r="L163" s="8">
        <v>1.33</v>
      </c>
      <c r="M163" s="8">
        <v>1.45</v>
      </c>
      <c r="N163" s="8">
        <v>1.76</v>
      </c>
      <c r="O163" s="8">
        <v>1.07</v>
      </c>
      <c r="P163" s="8">
        <v>-0.42</v>
      </c>
      <c r="Q163" s="8">
        <v>3.28</v>
      </c>
      <c r="R163" s="8">
        <v>4.43</v>
      </c>
      <c r="S163" s="8">
        <v>3.45</v>
      </c>
      <c r="T163" s="8">
        <v>2.61</v>
      </c>
      <c r="U163" s="8">
        <v>2.8303125000000007</v>
      </c>
      <c r="V163" s="8">
        <v>3.3849999999999993</v>
      </c>
      <c r="W163" s="8">
        <v>3.6795</v>
      </c>
      <c r="X163" s="8">
        <v>3.6759999999999997</v>
      </c>
      <c r="Y163" s="8">
        <v>3.8216666666666663</v>
      </c>
      <c r="Z163" s="8">
        <v>4.2416666666666671</v>
      </c>
      <c r="AA163" s="8">
        <v>4.5985714285714296</v>
      </c>
      <c r="AB163" s="8">
        <v>4.5457142857142854</v>
      </c>
      <c r="AC163" s="8">
        <v>4.7742857142857149</v>
      </c>
    </row>
    <row r="164" spans="1:29" x14ac:dyDescent="0.2">
      <c r="A164" s="7" t="s">
        <v>14</v>
      </c>
      <c r="B164" s="3"/>
      <c r="C164" s="3"/>
      <c r="D164" s="3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">
      <c r="A165" s="7" t="s">
        <v>232</v>
      </c>
      <c r="B165" s="3"/>
      <c r="C165" s="3"/>
      <c r="D165" s="3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">
      <c r="A166" s="7" t="s">
        <v>233</v>
      </c>
      <c r="B166" s="3" t="s">
        <v>234</v>
      </c>
      <c r="C166" s="3" t="s">
        <v>235</v>
      </c>
      <c r="D166" s="3"/>
      <c r="E166" s="8">
        <v>15.327102803738363</v>
      </c>
      <c r="F166" s="8">
        <v>18.658280922431892</v>
      </c>
      <c r="G166" s="8">
        <v>24.934383202099738</v>
      </c>
      <c r="H166" s="8">
        <v>19.808306709265175</v>
      </c>
      <c r="I166" s="8">
        <v>42.056074766355067</v>
      </c>
      <c r="J166" s="8">
        <v>35.445544554455402</v>
      </c>
      <c r="K166" s="8">
        <v>40.067340067340048</v>
      </c>
      <c r="L166" s="8">
        <v>54.920634920634939</v>
      </c>
      <c r="M166" s="8">
        <v>56.259904912836824</v>
      </c>
      <c r="N166" s="8">
        <v>67.950963222416789</v>
      </c>
      <c r="O166" s="8">
        <v>58.122743682310471</v>
      </c>
      <c r="P166" s="8">
        <v>53.886010362694179</v>
      </c>
      <c r="Q166" s="8">
        <v>39.08450704225335</v>
      </c>
      <c r="R166" s="8">
        <v>45.328719723183475</v>
      </c>
      <c r="S166" s="8">
        <v>49.271137026239067</v>
      </c>
      <c r="T166" s="8">
        <v>47.260273972602782</v>
      </c>
      <c r="U166" s="8">
        <v>39.631376387197676</v>
      </c>
      <c r="V166" s="8">
        <v>37.547115209408318</v>
      </c>
      <c r="W166" s="8">
        <v>40.980136318649727</v>
      </c>
      <c r="X166" s="8">
        <v>41.609599494594896</v>
      </c>
      <c r="Y166" s="8">
        <v>42.053534015279105</v>
      </c>
      <c r="Z166" s="8">
        <v>42.960478543794558</v>
      </c>
      <c r="AA166" s="8">
        <v>42.899725629221422</v>
      </c>
      <c r="AB166" s="8">
        <v>43.699873673500413</v>
      </c>
      <c r="AC166" s="8">
        <v>43.344555886791682</v>
      </c>
    </row>
    <row r="167" spans="1:29" x14ac:dyDescent="0.2">
      <c r="A167" s="7" t="s">
        <v>236</v>
      </c>
      <c r="B167" s="3" t="s">
        <v>237</v>
      </c>
      <c r="C167" s="3" t="s">
        <v>238</v>
      </c>
      <c r="D167" s="3"/>
      <c r="E167" s="8" t="s">
        <v>526</v>
      </c>
      <c r="F167" s="8" t="s">
        <v>526</v>
      </c>
      <c r="G167" s="8" t="s">
        <v>526</v>
      </c>
      <c r="H167" s="8" t="s">
        <v>526</v>
      </c>
      <c r="I167" s="8">
        <v>80.996884735202485</v>
      </c>
      <c r="J167" s="8">
        <v>30.89108910891089</v>
      </c>
      <c r="K167" s="8">
        <v>54.54545454545454</v>
      </c>
      <c r="L167" s="8">
        <v>81.428571428571431</v>
      </c>
      <c r="M167" s="8">
        <v>66.877971473851034</v>
      </c>
      <c r="N167" s="8">
        <v>96.672504378283705</v>
      </c>
      <c r="O167" s="8">
        <v>61.552346570397113</v>
      </c>
      <c r="P167" s="8">
        <v>36.269430051813472</v>
      </c>
      <c r="Q167" s="8">
        <v>45.070422535211272</v>
      </c>
      <c r="R167" s="8">
        <v>77.508650519031136</v>
      </c>
      <c r="S167" s="8">
        <v>60.058309037900869</v>
      </c>
      <c r="T167" s="8">
        <v>42.636986301369859</v>
      </c>
      <c r="U167" s="8">
        <v>12.848288638263668</v>
      </c>
      <c r="V167" s="8">
        <v>15.560098116027698</v>
      </c>
      <c r="W167" s="8">
        <v>26.745860828846794</v>
      </c>
      <c r="X167" s="8">
        <v>37.730008629403791</v>
      </c>
      <c r="Y167" s="8">
        <v>35.117918833355439</v>
      </c>
      <c r="Z167" s="8">
        <v>36.376926892934122</v>
      </c>
      <c r="AA167" s="8" t="s">
        <v>526</v>
      </c>
      <c r="AB167" s="8" t="s">
        <v>526</v>
      </c>
      <c r="AC167" s="8" t="s">
        <v>526</v>
      </c>
    </row>
    <row r="168" spans="1:29" x14ac:dyDescent="0.2">
      <c r="A168" s="7" t="s">
        <v>239</v>
      </c>
      <c r="B168" s="3" t="s">
        <v>240</v>
      </c>
      <c r="C168" s="3" t="s">
        <v>241</v>
      </c>
      <c r="D168" s="3"/>
      <c r="E168" s="8">
        <v>3264</v>
      </c>
      <c r="F168" s="8">
        <v>3397</v>
      </c>
      <c r="G168" s="8">
        <v>3198</v>
      </c>
      <c r="H168" s="8">
        <v>3424</v>
      </c>
      <c r="I168" s="8">
        <v>3325</v>
      </c>
      <c r="J168" s="8">
        <v>3746</v>
      </c>
      <c r="K168" s="8">
        <v>3468</v>
      </c>
      <c r="L168" s="8">
        <v>3541</v>
      </c>
      <c r="M168" s="8">
        <v>3534</v>
      </c>
      <c r="N168" s="8">
        <v>3765</v>
      </c>
      <c r="O168" s="8">
        <v>3681</v>
      </c>
      <c r="P168" s="8">
        <v>3787</v>
      </c>
      <c r="Q168" s="8">
        <v>3690</v>
      </c>
      <c r="R168" s="8">
        <v>3830</v>
      </c>
      <c r="S168" s="8">
        <v>3818</v>
      </c>
      <c r="T168" s="8">
        <v>4122</v>
      </c>
      <c r="U168" s="8">
        <v>4322.66549162304</v>
      </c>
      <c r="V168" s="8">
        <v>4435.3511265226125</v>
      </c>
      <c r="W168" s="8">
        <v>4344.441290956549</v>
      </c>
      <c r="X168" s="8">
        <v>4578.50902110272</v>
      </c>
      <c r="Y168" s="8">
        <v>4781.8622231195659</v>
      </c>
      <c r="Z168" s="8">
        <v>4946.9080399720751</v>
      </c>
      <c r="AA168" s="8">
        <v>4949.2853333619933</v>
      </c>
      <c r="AB168" s="8">
        <v>5219.2252067627724</v>
      </c>
      <c r="AC168" s="8">
        <v>5501.5513055657775</v>
      </c>
    </row>
    <row r="169" spans="1:29" x14ac:dyDescent="0.2">
      <c r="A169" s="7" t="s">
        <v>242</v>
      </c>
      <c r="B169" s="3" t="s">
        <v>243</v>
      </c>
      <c r="C169" s="3" t="s">
        <v>244</v>
      </c>
      <c r="D169" s="3"/>
      <c r="E169" s="8">
        <v>108</v>
      </c>
      <c r="F169" s="8">
        <v>100</v>
      </c>
      <c r="G169" s="8">
        <v>105</v>
      </c>
      <c r="H169" s="8">
        <v>97</v>
      </c>
      <c r="I169" s="8">
        <v>85</v>
      </c>
      <c r="J169" s="8">
        <v>34</v>
      </c>
      <c r="K169" s="8">
        <v>69</v>
      </c>
      <c r="L169" s="8">
        <v>82</v>
      </c>
      <c r="M169" s="8">
        <v>63</v>
      </c>
      <c r="N169" s="8">
        <v>54</v>
      </c>
      <c r="O169" s="8" t="s">
        <v>526</v>
      </c>
      <c r="P169" s="8" t="s">
        <v>526</v>
      </c>
      <c r="Q169" s="8">
        <v>75</v>
      </c>
      <c r="R169" s="8">
        <v>57</v>
      </c>
      <c r="S169" s="8">
        <v>56</v>
      </c>
      <c r="T169" s="8" t="s">
        <v>526</v>
      </c>
      <c r="U169" s="8">
        <v>72.014743384851556</v>
      </c>
      <c r="V169" s="8">
        <v>65.083113221337541</v>
      </c>
      <c r="W169" s="8">
        <v>59.428891073198891</v>
      </c>
      <c r="X169" s="8">
        <v>69.230349240667692</v>
      </c>
      <c r="Y169" s="8">
        <v>70.064384173940965</v>
      </c>
      <c r="Z169" s="8">
        <v>62.204691281049705</v>
      </c>
      <c r="AA169" s="8">
        <v>68.053128038566442</v>
      </c>
      <c r="AB169" s="8">
        <v>84.146392137825572</v>
      </c>
      <c r="AC169" s="8">
        <v>82.060018127554713</v>
      </c>
    </row>
    <row r="170" spans="1:29" x14ac:dyDescent="0.2">
      <c r="A170" s="7" t="s">
        <v>245</v>
      </c>
      <c r="B170" s="3" t="s">
        <v>246</v>
      </c>
      <c r="C170" s="3" t="s">
        <v>247</v>
      </c>
      <c r="D170" s="3"/>
      <c r="E170" s="8">
        <v>-76</v>
      </c>
      <c r="F170" s="8">
        <v>-81</v>
      </c>
      <c r="G170" s="8">
        <v>-7</v>
      </c>
      <c r="H170" s="8">
        <v>-106</v>
      </c>
      <c r="I170" s="8">
        <v>153</v>
      </c>
      <c r="J170" s="8">
        <v>-7</v>
      </c>
      <c r="K170" s="8">
        <v>268</v>
      </c>
      <c r="L170" s="8">
        <v>378</v>
      </c>
      <c r="M170" s="8">
        <v>547</v>
      </c>
      <c r="N170" s="8">
        <v>561</v>
      </c>
      <c r="O170" s="8">
        <v>578</v>
      </c>
      <c r="P170" s="8">
        <v>505</v>
      </c>
      <c r="Q170" s="8">
        <v>681</v>
      </c>
      <c r="R170" s="8">
        <v>783</v>
      </c>
      <c r="S170" s="8">
        <v>797</v>
      </c>
      <c r="T170" s="8">
        <v>770</v>
      </c>
      <c r="U170" s="8">
        <v>792.39166011328496</v>
      </c>
      <c r="V170" s="8">
        <v>928.30559896822706</v>
      </c>
      <c r="W170" s="8">
        <v>991.68646580382631</v>
      </c>
      <c r="X170" s="8">
        <v>972.24741784238472</v>
      </c>
      <c r="Y170" s="8">
        <v>1040.1571209770991</v>
      </c>
      <c r="Z170" s="8">
        <v>1152.6013397840663</v>
      </c>
      <c r="AA170" s="8">
        <v>1230.3474738603168</v>
      </c>
      <c r="AB170" s="8">
        <v>1190.3690659896513</v>
      </c>
      <c r="AC170" s="8">
        <v>1301.7049425195419</v>
      </c>
    </row>
    <row r="171" spans="1:29" x14ac:dyDescent="0.2">
      <c r="A171" s="7" t="s">
        <v>248</v>
      </c>
      <c r="B171" s="3" t="s">
        <v>249</v>
      </c>
      <c r="C171" s="3" t="s">
        <v>250</v>
      </c>
      <c r="D171" s="3"/>
      <c r="E171" s="8">
        <v>14</v>
      </c>
      <c r="F171" s="8">
        <v>18</v>
      </c>
      <c r="G171" s="8">
        <v>13</v>
      </c>
      <c r="H171" s="8">
        <v>14</v>
      </c>
      <c r="I171" s="8">
        <v>10</v>
      </c>
      <c r="J171" s="8">
        <v>11</v>
      </c>
      <c r="K171" s="8">
        <v>9</v>
      </c>
      <c r="L171" s="8">
        <v>9</v>
      </c>
      <c r="M171" s="8">
        <v>9</v>
      </c>
      <c r="N171" s="8">
        <v>9</v>
      </c>
      <c r="O171" s="8">
        <v>7</v>
      </c>
      <c r="P171" s="8">
        <v>6</v>
      </c>
      <c r="Q171" s="8">
        <v>5</v>
      </c>
      <c r="R171" s="8">
        <v>5</v>
      </c>
      <c r="S171" s="8">
        <v>6</v>
      </c>
      <c r="T171" s="8">
        <v>5</v>
      </c>
      <c r="U171" s="8">
        <v>6.5310062656641605</v>
      </c>
      <c r="V171" s="8">
        <v>6.3214631318057908</v>
      </c>
      <c r="W171" s="8">
        <v>6.2610164555000605</v>
      </c>
      <c r="X171" s="8">
        <v>6.2509031276068248</v>
      </c>
      <c r="Y171" s="8">
        <v>6.2201574456058344</v>
      </c>
      <c r="Z171" s="8">
        <v>6.2123145827878572</v>
      </c>
      <c r="AA171" s="8">
        <v>5.7992477021126723</v>
      </c>
      <c r="AB171" s="8">
        <v>5.7956691303197791</v>
      </c>
      <c r="AC171" s="8">
        <v>5.7087729206838747</v>
      </c>
    </row>
    <row r="172" spans="1:29" x14ac:dyDescent="0.2">
      <c r="A172" s="7" t="s">
        <v>14</v>
      </c>
      <c r="B172" s="3"/>
      <c r="C172" s="3"/>
      <c r="D172" s="3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">
      <c r="A173" s="7" t="s">
        <v>251</v>
      </c>
      <c r="B173" s="3"/>
      <c r="C173" s="3"/>
      <c r="D173" s="3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">
      <c r="A174" s="7" t="s">
        <v>252</v>
      </c>
      <c r="B174" s="3"/>
      <c r="C174" s="3"/>
      <c r="D174" s="3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">
      <c r="A175" s="7" t="s">
        <v>253</v>
      </c>
      <c r="B175" s="3" t="s">
        <v>254</v>
      </c>
      <c r="C175" s="3" t="s">
        <v>255</v>
      </c>
      <c r="D175" s="3"/>
      <c r="E175" s="8">
        <v>4659</v>
      </c>
      <c r="F175" s="8">
        <v>4352</v>
      </c>
      <c r="G175" s="8">
        <v>4293</v>
      </c>
      <c r="H175" s="8">
        <v>4329</v>
      </c>
      <c r="I175" s="8">
        <v>4695</v>
      </c>
      <c r="J175" s="8">
        <v>5260</v>
      </c>
      <c r="K175" s="8">
        <v>5644</v>
      </c>
      <c r="L175" s="8">
        <v>6344</v>
      </c>
      <c r="M175" s="8">
        <v>7003</v>
      </c>
      <c r="N175" s="8">
        <v>8379</v>
      </c>
      <c r="O175" s="8">
        <v>8854</v>
      </c>
      <c r="P175" s="8">
        <v>9299</v>
      </c>
      <c r="Q175" s="8">
        <v>10057</v>
      </c>
      <c r="R175" s="8">
        <v>10496</v>
      </c>
      <c r="S175" s="8">
        <v>9659</v>
      </c>
      <c r="T175" s="8">
        <v>10376</v>
      </c>
      <c r="U175" s="8">
        <v>11056.672083284146</v>
      </c>
      <c r="V175" s="8">
        <v>11572.562716183265</v>
      </c>
      <c r="W175" s="8">
        <v>12177.875499133299</v>
      </c>
      <c r="X175" s="8">
        <v>12828.110319578382</v>
      </c>
      <c r="Y175" s="8">
        <v>13596.142812113476</v>
      </c>
      <c r="Z175" s="8">
        <v>14297.974251075886</v>
      </c>
      <c r="AA175" s="8">
        <v>14359.282508038834</v>
      </c>
      <c r="AB175" s="8">
        <v>15123.773888296</v>
      </c>
      <c r="AC175" s="8">
        <v>15991.497006642874</v>
      </c>
    </row>
    <row r="176" spans="1:29" x14ac:dyDescent="0.2">
      <c r="A176" s="7" t="s">
        <v>256</v>
      </c>
      <c r="B176" s="3" t="s">
        <v>257</v>
      </c>
      <c r="C176" s="3" t="s">
        <v>258</v>
      </c>
      <c r="D176" s="3"/>
      <c r="E176" s="8">
        <v>648</v>
      </c>
      <c r="F176" s="8">
        <v>690</v>
      </c>
      <c r="G176" s="8">
        <v>555</v>
      </c>
      <c r="H176" s="8">
        <v>632</v>
      </c>
      <c r="I176" s="8">
        <v>747</v>
      </c>
      <c r="J176" s="8">
        <v>858</v>
      </c>
      <c r="K176" s="8">
        <v>777</v>
      </c>
      <c r="L176" s="8">
        <v>753</v>
      </c>
      <c r="M176" s="8">
        <v>749</v>
      </c>
      <c r="N176" s="8">
        <v>771</v>
      </c>
      <c r="O176" s="8">
        <v>749</v>
      </c>
      <c r="P176" s="8">
        <v>736</v>
      </c>
      <c r="Q176" s="8">
        <v>735</v>
      </c>
      <c r="R176" s="8">
        <v>802</v>
      </c>
      <c r="S176" s="8">
        <v>683</v>
      </c>
      <c r="T176" s="8">
        <v>780</v>
      </c>
      <c r="U176" s="8">
        <v>820.94205873107376</v>
      </c>
      <c r="V176" s="8">
        <v>859.6006787299126</v>
      </c>
      <c r="W176" s="8">
        <v>842.03949410332177</v>
      </c>
      <c r="X176" s="8">
        <v>860.14484165913461</v>
      </c>
      <c r="Y176" s="8">
        <v>899.02793606449109</v>
      </c>
      <c r="Z176" s="8">
        <v>972.18036546716417</v>
      </c>
      <c r="AA176" s="8">
        <v>1019.0917614560132</v>
      </c>
      <c r="AB176" s="8">
        <v>1046.9821870145204</v>
      </c>
      <c r="AC176" s="8">
        <v>1074.8824043158063</v>
      </c>
    </row>
    <row r="177" spans="1:29" x14ac:dyDescent="0.2">
      <c r="A177" s="7" t="s">
        <v>259</v>
      </c>
      <c r="B177" s="3" t="s">
        <v>260</v>
      </c>
      <c r="C177" s="3" t="s">
        <v>261</v>
      </c>
      <c r="D177" s="3"/>
      <c r="E177" s="8">
        <v>2</v>
      </c>
      <c r="F177" s="8">
        <v>5</v>
      </c>
      <c r="G177" s="8">
        <v>5</v>
      </c>
      <c r="H177" s="8">
        <v>8</v>
      </c>
      <c r="I177" s="8">
        <v>8</v>
      </c>
      <c r="J177" s="8">
        <v>20</v>
      </c>
      <c r="K177" s="8">
        <v>21</v>
      </c>
      <c r="L177" s="8">
        <v>35</v>
      </c>
      <c r="M177" s="8">
        <v>27</v>
      </c>
      <c r="N177" s="8">
        <v>28</v>
      </c>
      <c r="O177" s="8">
        <v>46</v>
      </c>
      <c r="P177" s="8">
        <v>83</v>
      </c>
      <c r="Q177" s="8">
        <v>117</v>
      </c>
      <c r="R177" s="8">
        <v>116</v>
      </c>
      <c r="S177" s="8">
        <v>94</v>
      </c>
      <c r="T177" s="8">
        <v>92</v>
      </c>
      <c r="U177" s="8">
        <v>92</v>
      </c>
      <c r="V177" s="8">
        <v>92</v>
      </c>
      <c r="W177" s="8">
        <v>92</v>
      </c>
      <c r="X177" s="8">
        <v>92</v>
      </c>
      <c r="Y177" s="8">
        <v>92</v>
      </c>
      <c r="Z177" s="8">
        <v>92</v>
      </c>
      <c r="AA177" s="8">
        <v>92</v>
      </c>
      <c r="AB177" s="8">
        <v>92</v>
      </c>
      <c r="AC177" s="8">
        <v>92</v>
      </c>
    </row>
    <row r="178" spans="1:29" x14ac:dyDescent="0.2">
      <c r="A178" s="7" t="s">
        <v>262</v>
      </c>
      <c r="B178" s="3" t="s">
        <v>263</v>
      </c>
      <c r="C178" s="3" t="s">
        <v>264</v>
      </c>
      <c r="D178" s="3"/>
      <c r="E178" s="8">
        <v>3666</v>
      </c>
      <c r="F178" s="8">
        <v>3350</v>
      </c>
      <c r="G178" s="8">
        <v>3438</v>
      </c>
      <c r="H178" s="8">
        <v>3416</v>
      </c>
      <c r="I178" s="8">
        <v>3715</v>
      </c>
      <c r="J178" s="8">
        <v>4214</v>
      </c>
      <c r="K178" s="8">
        <v>4671</v>
      </c>
      <c r="L178" s="8">
        <v>5398</v>
      </c>
      <c r="M178" s="8">
        <v>6080</v>
      </c>
      <c r="N178" s="8">
        <v>7448</v>
      </c>
      <c r="O178" s="8">
        <v>7913</v>
      </c>
      <c r="P178" s="8">
        <v>8344</v>
      </c>
      <c r="Q178" s="8">
        <v>9062</v>
      </c>
      <c r="R178" s="8">
        <v>9467</v>
      </c>
      <c r="S178" s="8">
        <v>8746</v>
      </c>
      <c r="T178" s="8">
        <v>9388</v>
      </c>
      <c r="U178" s="8">
        <v>10038.901715151325</v>
      </c>
      <c r="V178" s="8">
        <v>10731.508194102837</v>
      </c>
      <c r="W178" s="8">
        <v>11386.819084676803</v>
      </c>
      <c r="X178" s="8">
        <v>12023.195863159912</v>
      </c>
      <c r="Y178" s="8">
        <v>12754.218206657592</v>
      </c>
      <c r="Z178" s="8">
        <v>13600.678708123256</v>
      </c>
      <c r="AA178" s="8">
        <v>14094.411978061513</v>
      </c>
      <c r="AB178" s="8">
        <v>14921.926920900332</v>
      </c>
      <c r="AC178" s="8">
        <v>15835.663979868301</v>
      </c>
    </row>
    <row r="179" spans="1:29" x14ac:dyDescent="0.2">
      <c r="A179" s="7" t="s">
        <v>265</v>
      </c>
      <c r="B179" s="3" t="s">
        <v>266</v>
      </c>
      <c r="C179" s="3" t="s">
        <v>267</v>
      </c>
      <c r="D179" s="3"/>
      <c r="E179" s="8">
        <v>815</v>
      </c>
      <c r="F179" s="8">
        <v>867</v>
      </c>
      <c r="G179" s="8">
        <v>995</v>
      </c>
      <c r="H179" s="8">
        <v>866</v>
      </c>
      <c r="I179" s="8">
        <v>1097</v>
      </c>
      <c r="J179" s="8">
        <v>1100</v>
      </c>
      <c r="K179" s="8">
        <v>1220</v>
      </c>
      <c r="L179" s="8">
        <v>1344</v>
      </c>
      <c r="M179" s="8">
        <v>1392</v>
      </c>
      <c r="N179" s="8">
        <v>2667</v>
      </c>
      <c r="O179" s="8">
        <v>2894</v>
      </c>
      <c r="P179" s="8">
        <v>3183</v>
      </c>
      <c r="Q179" s="8">
        <v>3606</v>
      </c>
      <c r="R179" s="8">
        <v>4209</v>
      </c>
      <c r="S179" s="8">
        <v>3491</v>
      </c>
      <c r="T179" s="8">
        <v>3450</v>
      </c>
      <c r="U179" s="8">
        <v>3487.4356481125528</v>
      </c>
      <c r="V179" s="8">
        <v>3516.1317462419615</v>
      </c>
      <c r="W179" s="8">
        <v>3481.7298562131846</v>
      </c>
      <c r="X179" s="8">
        <v>3471.7672544266788</v>
      </c>
      <c r="Y179" s="8">
        <v>3532.0365509858198</v>
      </c>
      <c r="Z179" s="8">
        <v>3577.8928855358545</v>
      </c>
      <c r="AA179" s="8">
        <v>3561.313752534486</v>
      </c>
      <c r="AB179" s="8">
        <v>3543.5451715691038</v>
      </c>
      <c r="AC179" s="8">
        <v>3681.2228628159664</v>
      </c>
    </row>
    <row r="180" spans="1:29" x14ac:dyDescent="0.2">
      <c r="A180" s="7" t="s">
        <v>268</v>
      </c>
      <c r="B180" s="3" t="s">
        <v>269</v>
      </c>
      <c r="C180" s="3" t="s">
        <v>270</v>
      </c>
      <c r="D180" s="3"/>
      <c r="E180" s="8">
        <v>2851</v>
      </c>
      <c r="F180" s="8">
        <v>2483</v>
      </c>
      <c r="G180" s="8">
        <v>2443</v>
      </c>
      <c r="H180" s="8">
        <v>2550</v>
      </c>
      <c r="I180" s="8">
        <v>2618</v>
      </c>
      <c r="J180" s="8">
        <v>3114</v>
      </c>
      <c r="K180" s="8">
        <v>3451</v>
      </c>
      <c r="L180" s="8">
        <v>4054</v>
      </c>
      <c r="M180" s="8">
        <v>4688</v>
      </c>
      <c r="N180" s="8">
        <v>4781</v>
      </c>
      <c r="O180" s="8">
        <v>5019</v>
      </c>
      <c r="P180" s="8">
        <v>5161</v>
      </c>
      <c r="Q180" s="8">
        <v>5456</v>
      </c>
      <c r="R180" s="8">
        <v>5258</v>
      </c>
      <c r="S180" s="8">
        <v>5255</v>
      </c>
      <c r="T180" s="8">
        <v>5938</v>
      </c>
      <c r="U180" s="8">
        <v>6674.8635611775744</v>
      </c>
      <c r="V180" s="8">
        <v>7163.1075408106126</v>
      </c>
      <c r="W180" s="8">
        <v>7822.842077207506</v>
      </c>
      <c r="X180" s="8">
        <v>8431.337951051355</v>
      </c>
      <c r="Y180" s="8">
        <v>9047.6748223051218</v>
      </c>
      <c r="Z180" s="8">
        <v>9635.5805490467319</v>
      </c>
      <c r="AA180" s="8">
        <v>9434.1123858060037</v>
      </c>
      <c r="AB180" s="8">
        <v>10133.432728947348</v>
      </c>
      <c r="AC180" s="8">
        <v>10748.940121911961</v>
      </c>
    </row>
    <row r="181" spans="1:29" x14ac:dyDescent="0.2">
      <c r="A181" s="7" t="s">
        <v>271</v>
      </c>
      <c r="B181" s="3" t="s">
        <v>272</v>
      </c>
      <c r="C181" s="3" t="s">
        <v>273</v>
      </c>
      <c r="D181" s="3"/>
      <c r="E181" s="8">
        <v>343</v>
      </c>
      <c r="F181" s="8">
        <v>307</v>
      </c>
      <c r="G181" s="8">
        <v>295</v>
      </c>
      <c r="H181" s="8">
        <v>273</v>
      </c>
      <c r="I181" s="8">
        <v>225</v>
      </c>
      <c r="J181" s="8">
        <v>168</v>
      </c>
      <c r="K181" s="8">
        <v>175</v>
      </c>
      <c r="L181" s="8">
        <v>158</v>
      </c>
      <c r="M181" s="8">
        <v>147</v>
      </c>
      <c r="N181" s="8">
        <v>132</v>
      </c>
      <c r="O181" s="8">
        <v>146</v>
      </c>
      <c r="P181" s="8">
        <v>136</v>
      </c>
      <c r="Q181" s="8">
        <v>143</v>
      </c>
      <c r="R181" s="8">
        <v>111</v>
      </c>
      <c r="S181" s="8">
        <v>136</v>
      </c>
      <c r="T181" s="8">
        <v>116</v>
      </c>
      <c r="U181" s="8">
        <v>135.11268675610478</v>
      </c>
      <c r="V181" s="8">
        <v>125.96450749666178</v>
      </c>
      <c r="W181" s="8">
        <v>138.55042402247219</v>
      </c>
      <c r="X181" s="8">
        <v>131.98029734479854</v>
      </c>
      <c r="Y181" s="8">
        <v>145.99280376566466</v>
      </c>
      <c r="Z181" s="8">
        <v>131.35271830308969</v>
      </c>
      <c r="AA181" s="8">
        <v>127.85352258506397</v>
      </c>
      <c r="AB181" s="8">
        <v>132.29242810435863</v>
      </c>
      <c r="AC181" s="8">
        <v>132.82459777538409</v>
      </c>
    </row>
    <row r="182" spans="1:29" x14ac:dyDescent="0.2">
      <c r="A182" s="7" t="s">
        <v>274</v>
      </c>
      <c r="B182" s="3" t="s">
        <v>275</v>
      </c>
      <c r="C182" s="3" t="s">
        <v>276</v>
      </c>
      <c r="D182" s="3"/>
      <c r="E182" s="8">
        <v>2973</v>
      </c>
      <c r="F182" s="8">
        <v>3284</v>
      </c>
      <c r="G182" s="8">
        <v>3236</v>
      </c>
      <c r="H182" s="8">
        <v>2983</v>
      </c>
      <c r="I182" s="8">
        <v>2897</v>
      </c>
      <c r="J182" s="8">
        <v>3086</v>
      </c>
      <c r="K182" s="8">
        <v>3431</v>
      </c>
      <c r="L182" s="8">
        <v>3802</v>
      </c>
      <c r="M182" s="8">
        <v>3550</v>
      </c>
      <c r="N182" s="8">
        <v>3626</v>
      </c>
      <c r="O182" s="8">
        <v>3833</v>
      </c>
      <c r="P182" s="8">
        <v>4166</v>
      </c>
      <c r="Q182" s="8">
        <v>4632</v>
      </c>
      <c r="R182" s="8">
        <v>4519</v>
      </c>
      <c r="S182" s="8">
        <v>3469</v>
      </c>
      <c r="T182" s="8">
        <v>3372</v>
      </c>
      <c r="U182" s="8">
        <v>3370.8299819082536</v>
      </c>
      <c r="V182" s="8">
        <v>3368.9307960078954</v>
      </c>
      <c r="W182" s="8">
        <v>3347.1388693079557</v>
      </c>
      <c r="X182" s="8">
        <v>3339.8039008639794</v>
      </c>
      <c r="Y182" s="8">
        <v>3334.282337534195</v>
      </c>
      <c r="Z182" s="8">
        <v>3328.09557880798</v>
      </c>
      <c r="AA182" s="8">
        <v>3300.8270388343508</v>
      </c>
      <c r="AB182" s="8">
        <v>3284.1792087544245</v>
      </c>
      <c r="AC182" s="8">
        <v>3271.565448958193</v>
      </c>
    </row>
    <row r="183" spans="1:29" x14ac:dyDescent="0.2">
      <c r="A183" s="7" t="s">
        <v>277</v>
      </c>
      <c r="B183" s="3" t="s">
        <v>278</v>
      </c>
      <c r="C183" s="3" t="s">
        <v>279</v>
      </c>
      <c r="D183" s="3"/>
      <c r="E183" s="8">
        <v>453</v>
      </c>
      <c r="F183" s="8">
        <v>417</v>
      </c>
      <c r="G183" s="8">
        <v>413</v>
      </c>
      <c r="H183" s="8">
        <v>344</v>
      </c>
      <c r="I183" s="8">
        <v>343</v>
      </c>
      <c r="J183" s="8">
        <v>300</v>
      </c>
      <c r="K183" s="8">
        <v>274</v>
      </c>
      <c r="L183" s="8">
        <v>254</v>
      </c>
      <c r="M183" s="8">
        <v>235</v>
      </c>
      <c r="N183" s="8">
        <v>226</v>
      </c>
      <c r="O183" s="8">
        <v>223</v>
      </c>
      <c r="P183" s="8">
        <v>256</v>
      </c>
      <c r="Q183" s="8">
        <v>242</v>
      </c>
      <c r="R183" s="8">
        <v>234</v>
      </c>
      <c r="S183" s="8">
        <v>227</v>
      </c>
      <c r="T183" s="8">
        <v>225</v>
      </c>
      <c r="U183" s="8">
        <v>223.31513456596375</v>
      </c>
      <c r="V183" s="8">
        <v>221.67499120159346</v>
      </c>
      <c r="W183" s="8">
        <v>218.75598042995881</v>
      </c>
      <c r="X183" s="8">
        <v>216.62372338647671</v>
      </c>
      <c r="Y183" s="8">
        <v>214.5428903798506</v>
      </c>
      <c r="Z183" s="8">
        <v>212.52358107553627</v>
      </c>
      <c r="AA183" s="8">
        <v>193.88018062174251</v>
      </c>
      <c r="AB183" s="8">
        <v>189.55441126375621</v>
      </c>
      <c r="AC183" s="8">
        <v>185.35238277444356</v>
      </c>
    </row>
    <row r="184" spans="1:29" x14ac:dyDescent="0.2">
      <c r="A184" s="7" t="s">
        <v>280</v>
      </c>
      <c r="B184" s="3" t="s">
        <v>281</v>
      </c>
      <c r="C184" s="3" t="s">
        <v>282</v>
      </c>
      <c r="D184" s="3"/>
      <c r="E184" s="8">
        <v>382</v>
      </c>
      <c r="F184" s="8">
        <v>348</v>
      </c>
      <c r="G184" s="8">
        <v>331</v>
      </c>
      <c r="H184" s="8">
        <v>280</v>
      </c>
      <c r="I184" s="8">
        <v>275</v>
      </c>
      <c r="J184" s="8">
        <v>247</v>
      </c>
      <c r="K184" s="8">
        <v>224</v>
      </c>
      <c r="L184" s="8">
        <v>211</v>
      </c>
      <c r="M184" s="8">
        <v>195</v>
      </c>
      <c r="N184" s="8">
        <v>188</v>
      </c>
      <c r="O184" s="8">
        <v>178</v>
      </c>
      <c r="P184" s="8">
        <v>161</v>
      </c>
      <c r="Q184" s="8">
        <v>174</v>
      </c>
      <c r="R184" s="8">
        <v>188</v>
      </c>
      <c r="S184" s="8">
        <v>182</v>
      </c>
      <c r="T184" s="8">
        <v>193</v>
      </c>
      <c r="U184" s="8">
        <v>189.24824319774876</v>
      </c>
      <c r="V184" s="8">
        <v>185.21221763022345</v>
      </c>
      <c r="W184" s="8">
        <v>177.23192149221629</v>
      </c>
      <c r="X184" s="8">
        <v>172.48102086848283</v>
      </c>
      <c r="Y184" s="8">
        <v>170.87497932972011</v>
      </c>
      <c r="Z184" s="8">
        <v>169.28083928759125</v>
      </c>
      <c r="AA184" s="8">
        <v>185.43312632482809</v>
      </c>
      <c r="AB184" s="8">
        <v>184.20811153864707</v>
      </c>
      <c r="AC184" s="8">
        <v>187.02439290935453</v>
      </c>
    </row>
    <row r="185" spans="1:29" x14ac:dyDescent="0.2">
      <c r="A185" s="7" t="s">
        <v>283</v>
      </c>
      <c r="B185" s="3" t="s">
        <v>284</v>
      </c>
      <c r="C185" s="3" t="s">
        <v>285</v>
      </c>
      <c r="D185" s="3"/>
      <c r="E185" s="8">
        <v>1414</v>
      </c>
      <c r="F185" s="8">
        <v>1295</v>
      </c>
      <c r="G185" s="8">
        <v>1270</v>
      </c>
      <c r="H185" s="8">
        <v>1253</v>
      </c>
      <c r="I185" s="8">
        <v>1278</v>
      </c>
      <c r="J185" s="8">
        <v>1221</v>
      </c>
      <c r="K185" s="8">
        <v>1235</v>
      </c>
      <c r="L185" s="8">
        <v>1235</v>
      </c>
      <c r="M185" s="8">
        <v>1186</v>
      </c>
      <c r="N185" s="8">
        <v>1249</v>
      </c>
      <c r="O185" s="8">
        <v>1199</v>
      </c>
      <c r="P185" s="8">
        <v>1111</v>
      </c>
      <c r="Q185" s="8">
        <v>1111</v>
      </c>
      <c r="R185" s="8">
        <v>1124</v>
      </c>
      <c r="S185" s="8">
        <v>1140</v>
      </c>
      <c r="T185" s="8">
        <v>1146</v>
      </c>
      <c r="U185" s="8">
        <v>1153.2518089137182</v>
      </c>
      <c r="V185" s="8">
        <v>1147.3045474483524</v>
      </c>
      <c r="W185" s="8">
        <v>1142.5590605477817</v>
      </c>
      <c r="X185" s="8">
        <v>1135.7763253213018</v>
      </c>
      <c r="Y185" s="8">
        <v>1128.9963096505783</v>
      </c>
      <c r="Z185" s="8">
        <v>1122.2190016077357</v>
      </c>
      <c r="AA185" s="8">
        <v>1110.968486573754</v>
      </c>
      <c r="AB185" s="8">
        <v>1101.0043377897268</v>
      </c>
      <c r="AC185" s="8">
        <v>1091.045533320153</v>
      </c>
    </row>
    <row r="186" spans="1:29" x14ac:dyDescent="0.2">
      <c r="A186" s="7" t="s">
        <v>286</v>
      </c>
      <c r="B186" s="3" t="s">
        <v>287</v>
      </c>
      <c r="C186" s="3" t="s">
        <v>288</v>
      </c>
      <c r="D186" s="3"/>
      <c r="E186" s="8">
        <v>1261</v>
      </c>
      <c r="F186" s="8">
        <v>1168</v>
      </c>
      <c r="G186" s="8">
        <v>1155</v>
      </c>
      <c r="H186" s="8">
        <v>1148</v>
      </c>
      <c r="I186" s="8">
        <v>1180</v>
      </c>
      <c r="J186" s="8">
        <v>1137</v>
      </c>
      <c r="K186" s="8">
        <v>1159</v>
      </c>
      <c r="L186" s="8">
        <v>1167</v>
      </c>
      <c r="M186" s="8">
        <v>1128</v>
      </c>
      <c r="N186" s="8">
        <v>1201</v>
      </c>
      <c r="O186" s="8">
        <v>1156</v>
      </c>
      <c r="P186" s="8">
        <v>1074</v>
      </c>
      <c r="Q186" s="8">
        <v>1078</v>
      </c>
      <c r="R186" s="8">
        <v>1083</v>
      </c>
      <c r="S186" s="8">
        <v>1099</v>
      </c>
      <c r="T186" s="8">
        <v>1110</v>
      </c>
      <c r="U186" s="8">
        <v>1107.5999999999999</v>
      </c>
      <c r="V186" s="8">
        <v>1105.2</v>
      </c>
      <c r="W186" s="8">
        <v>1099.6314285714286</v>
      </c>
      <c r="X186" s="8">
        <v>1096.1199999999999</v>
      </c>
      <c r="Y186" s="8">
        <v>1092.6085714285714</v>
      </c>
      <c r="Z186" s="8">
        <v>1089.0971428571429</v>
      </c>
      <c r="AA186" s="8">
        <v>1067.1270999999999</v>
      </c>
      <c r="AB186" s="8">
        <v>1060.8342</v>
      </c>
      <c r="AC186" s="8">
        <v>1054.5413000000001</v>
      </c>
    </row>
    <row r="187" spans="1:29" x14ac:dyDescent="0.2">
      <c r="A187" s="7" t="s">
        <v>289</v>
      </c>
      <c r="B187" s="3" t="s">
        <v>290</v>
      </c>
      <c r="C187" s="3" t="s">
        <v>291</v>
      </c>
      <c r="D187" s="3"/>
      <c r="E187" s="8">
        <v>153</v>
      </c>
      <c r="F187" s="8">
        <v>127</v>
      </c>
      <c r="G187" s="8">
        <v>115</v>
      </c>
      <c r="H187" s="8">
        <v>105</v>
      </c>
      <c r="I187" s="8">
        <v>98</v>
      </c>
      <c r="J187" s="8">
        <v>84</v>
      </c>
      <c r="K187" s="8">
        <v>76</v>
      </c>
      <c r="L187" s="8">
        <v>68</v>
      </c>
      <c r="M187" s="8">
        <v>58</v>
      </c>
      <c r="N187" s="8">
        <v>48</v>
      </c>
      <c r="O187" s="8">
        <v>43</v>
      </c>
      <c r="P187" s="8">
        <v>37</v>
      </c>
      <c r="Q187" s="8">
        <v>33</v>
      </c>
      <c r="R187" s="8">
        <v>41</v>
      </c>
      <c r="S187" s="8">
        <v>41</v>
      </c>
      <c r="T187" s="8">
        <v>36</v>
      </c>
      <c r="U187" s="8">
        <v>34.818333333333328</v>
      </c>
      <c r="V187" s="8">
        <v>34.436676666666671</v>
      </c>
      <c r="W187" s="8">
        <v>32.953571428571429</v>
      </c>
      <c r="X187" s="8">
        <v>31.890476190476189</v>
      </c>
      <c r="Y187" s="8">
        <v>30.827380952380956</v>
      </c>
      <c r="Z187" s="8">
        <v>34.725000000000001</v>
      </c>
      <c r="AA187" s="8">
        <v>28.050000000000004</v>
      </c>
      <c r="AB187" s="8">
        <v>27.950000000000003</v>
      </c>
      <c r="AC187" s="8">
        <v>27.850000000000005</v>
      </c>
    </row>
    <row r="188" spans="1:29" x14ac:dyDescent="0.2">
      <c r="A188" s="7" t="s">
        <v>292</v>
      </c>
      <c r="B188" s="3" t="s">
        <v>293</v>
      </c>
      <c r="C188" s="3" t="s">
        <v>294</v>
      </c>
      <c r="D188" s="3"/>
      <c r="E188" s="8">
        <v>630</v>
      </c>
      <c r="F188" s="8">
        <v>1138</v>
      </c>
      <c r="G188" s="8">
        <v>1134</v>
      </c>
      <c r="H188" s="8">
        <v>1015</v>
      </c>
      <c r="I188" s="8">
        <v>903</v>
      </c>
      <c r="J188" s="8">
        <v>1215</v>
      </c>
      <c r="K188" s="8">
        <v>1534</v>
      </c>
      <c r="L188" s="8">
        <v>1931</v>
      </c>
      <c r="M188" s="8">
        <v>1604</v>
      </c>
      <c r="N188" s="8">
        <v>1635</v>
      </c>
      <c r="O188" s="8">
        <v>1958</v>
      </c>
      <c r="P188" s="8">
        <v>2417</v>
      </c>
      <c r="Q188" s="8">
        <v>2888</v>
      </c>
      <c r="R188" s="8">
        <v>2181</v>
      </c>
      <c r="S188" s="8">
        <v>1194</v>
      </c>
      <c r="T188" s="8">
        <v>1118</v>
      </c>
      <c r="U188" s="8">
        <v>1118</v>
      </c>
      <c r="V188" s="8">
        <v>1118</v>
      </c>
      <c r="W188" s="8">
        <v>1118</v>
      </c>
      <c r="X188" s="8">
        <v>1118</v>
      </c>
      <c r="Y188" s="8">
        <v>1118</v>
      </c>
      <c r="Z188" s="8">
        <v>1118</v>
      </c>
      <c r="AA188" s="8">
        <v>1118</v>
      </c>
      <c r="AB188" s="8">
        <v>1118</v>
      </c>
      <c r="AC188" s="8">
        <v>1118</v>
      </c>
    </row>
    <row r="189" spans="1:29" x14ac:dyDescent="0.2">
      <c r="A189" s="7" t="s">
        <v>295</v>
      </c>
      <c r="B189" s="3" t="s">
        <v>296</v>
      </c>
      <c r="C189" s="3" t="s">
        <v>297</v>
      </c>
      <c r="D189" s="3"/>
      <c r="E189" s="8">
        <v>86</v>
      </c>
      <c r="F189" s="8">
        <v>78</v>
      </c>
      <c r="G189" s="8">
        <v>77</v>
      </c>
      <c r="H189" s="8">
        <v>76</v>
      </c>
      <c r="I189" s="8">
        <v>75</v>
      </c>
      <c r="J189" s="8">
        <v>75</v>
      </c>
      <c r="K189" s="8">
        <v>123</v>
      </c>
      <c r="L189" s="8">
        <v>122</v>
      </c>
      <c r="M189" s="8">
        <v>136</v>
      </c>
      <c r="N189" s="8">
        <v>142</v>
      </c>
      <c r="O189" s="8">
        <v>65</v>
      </c>
      <c r="P189" s="8">
        <v>127</v>
      </c>
      <c r="Q189" s="8">
        <v>130</v>
      </c>
      <c r="R189" s="8">
        <v>130</v>
      </c>
      <c r="S189" s="8">
        <v>59</v>
      </c>
      <c r="T189" s="8">
        <v>56</v>
      </c>
      <c r="U189" s="8">
        <v>127</v>
      </c>
      <c r="V189" s="8">
        <v>127</v>
      </c>
      <c r="W189" s="8">
        <v>127</v>
      </c>
      <c r="X189" s="8">
        <v>127</v>
      </c>
      <c r="Y189" s="8">
        <v>127</v>
      </c>
      <c r="Z189" s="8">
        <v>127</v>
      </c>
      <c r="AA189" s="8">
        <v>127</v>
      </c>
      <c r="AB189" s="8">
        <v>127</v>
      </c>
      <c r="AC189" s="8">
        <v>127</v>
      </c>
    </row>
    <row r="190" spans="1:29" x14ac:dyDescent="0.2">
      <c r="A190" s="7" t="s">
        <v>298</v>
      </c>
      <c r="B190" s="3" t="s">
        <v>299</v>
      </c>
      <c r="C190" s="3" t="s">
        <v>300</v>
      </c>
      <c r="D190" s="3"/>
      <c r="E190" s="8">
        <v>8</v>
      </c>
      <c r="F190" s="8">
        <v>8</v>
      </c>
      <c r="G190" s="8">
        <v>11</v>
      </c>
      <c r="H190" s="8">
        <v>15</v>
      </c>
      <c r="I190" s="8">
        <v>23</v>
      </c>
      <c r="J190" s="8">
        <v>28</v>
      </c>
      <c r="K190" s="8">
        <v>41</v>
      </c>
      <c r="L190" s="8">
        <v>49</v>
      </c>
      <c r="M190" s="8">
        <v>194</v>
      </c>
      <c r="N190" s="8">
        <v>186</v>
      </c>
      <c r="O190" s="8">
        <v>136</v>
      </c>
      <c r="P190" s="8">
        <v>94</v>
      </c>
      <c r="Q190" s="8">
        <v>87</v>
      </c>
      <c r="R190" s="8">
        <v>662</v>
      </c>
      <c r="S190" s="8">
        <v>596</v>
      </c>
      <c r="T190" s="8">
        <v>563</v>
      </c>
      <c r="U190" s="8">
        <v>563.12078000320753</v>
      </c>
      <c r="V190" s="8">
        <v>563.49714489823975</v>
      </c>
      <c r="W190" s="8">
        <v>560.78521546062984</v>
      </c>
      <c r="X190" s="8">
        <v>560.48443545162991</v>
      </c>
      <c r="Y190" s="8">
        <v>560.69279383815956</v>
      </c>
      <c r="Z190" s="8">
        <v>561.55582281468298</v>
      </c>
      <c r="AA190" s="8">
        <v>554.49705218216877</v>
      </c>
      <c r="AB190" s="8">
        <v>554.48922107184274</v>
      </c>
      <c r="AC190" s="8">
        <v>555.53104743391611</v>
      </c>
    </row>
    <row r="191" spans="1:29" x14ac:dyDescent="0.2">
      <c r="A191" s="7" t="s">
        <v>301</v>
      </c>
      <c r="B191" s="3" t="s">
        <v>302</v>
      </c>
      <c r="C191" s="3" t="s">
        <v>303</v>
      </c>
      <c r="D191" s="3"/>
      <c r="E191" s="8">
        <v>7632</v>
      </c>
      <c r="F191" s="8">
        <v>7636</v>
      </c>
      <c r="G191" s="8">
        <v>7529</v>
      </c>
      <c r="H191" s="8">
        <v>7312</v>
      </c>
      <c r="I191" s="8">
        <v>7592</v>
      </c>
      <c r="J191" s="8">
        <v>8346</v>
      </c>
      <c r="K191" s="8">
        <v>9075</v>
      </c>
      <c r="L191" s="8">
        <v>10146</v>
      </c>
      <c r="M191" s="8">
        <v>10553</v>
      </c>
      <c r="N191" s="8">
        <v>12005</v>
      </c>
      <c r="O191" s="8">
        <v>12687</v>
      </c>
      <c r="P191" s="8">
        <v>13465</v>
      </c>
      <c r="Q191" s="8">
        <v>14689</v>
      </c>
      <c r="R191" s="8">
        <v>15015</v>
      </c>
      <c r="S191" s="8">
        <v>13128</v>
      </c>
      <c r="T191" s="8">
        <v>13748</v>
      </c>
      <c r="U191" s="8">
        <v>14419.596832422314</v>
      </c>
      <c r="V191" s="8">
        <v>14945.810804924602</v>
      </c>
      <c r="W191" s="8">
        <v>15517.610679718777</v>
      </c>
      <c r="X191" s="8">
        <v>16139.046065687009</v>
      </c>
      <c r="Y191" s="8">
        <v>16867.632447315766</v>
      </c>
      <c r="Z191" s="8">
        <v>17552.997647999549</v>
      </c>
      <c r="AA191" s="8">
        <v>17506.240212235156</v>
      </c>
      <c r="AB191" s="8">
        <v>18205.922092783352</v>
      </c>
      <c r="AC191" s="8">
        <v>18979.045322623359</v>
      </c>
    </row>
    <row r="192" spans="1:29" x14ac:dyDescent="0.2">
      <c r="A192" s="7" t="s">
        <v>14</v>
      </c>
      <c r="B192" s="3"/>
      <c r="C192" s="3"/>
      <c r="D192" s="3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">
      <c r="A193" s="7" t="s">
        <v>304</v>
      </c>
      <c r="B193" s="3"/>
      <c r="C193" s="3"/>
      <c r="D193" s="3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">
      <c r="A194" s="7" t="s">
        <v>305</v>
      </c>
      <c r="B194" s="3" t="s">
        <v>306</v>
      </c>
      <c r="C194" s="3" t="s">
        <v>307</v>
      </c>
      <c r="D194" s="3"/>
      <c r="E194" s="8">
        <v>3558</v>
      </c>
      <c r="F194" s="8">
        <v>3516</v>
      </c>
      <c r="G194" s="8">
        <v>3459</v>
      </c>
      <c r="H194" s="8">
        <v>3546</v>
      </c>
      <c r="I194" s="8">
        <v>3701</v>
      </c>
      <c r="J194" s="8">
        <v>4090</v>
      </c>
      <c r="K194" s="8">
        <v>3966</v>
      </c>
      <c r="L194" s="8">
        <v>4059</v>
      </c>
      <c r="M194" s="8">
        <v>4106</v>
      </c>
      <c r="N194" s="8">
        <v>4450</v>
      </c>
      <c r="O194" s="8">
        <v>5965</v>
      </c>
      <c r="P194" s="8">
        <v>6312</v>
      </c>
      <c r="Q194" s="8">
        <v>6239</v>
      </c>
      <c r="R194" s="8">
        <v>6085</v>
      </c>
      <c r="S194" s="8">
        <v>4688</v>
      </c>
      <c r="T194" s="8">
        <v>4914</v>
      </c>
      <c r="U194" s="8">
        <v>5050.7061584853773</v>
      </c>
      <c r="V194" s="8">
        <v>5045.4749093504452</v>
      </c>
      <c r="W194" s="8">
        <v>5092.6642056822375</v>
      </c>
      <c r="X194" s="8">
        <v>5208.1618558532236</v>
      </c>
      <c r="Y194" s="8">
        <v>5383.2460754871372</v>
      </c>
      <c r="Z194" s="8">
        <v>5458.3022607227631</v>
      </c>
      <c r="AA194" s="8">
        <v>5424.0283315225206</v>
      </c>
      <c r="AB194" s="8">
        <v>5558.4871568926201</v>
      </c>
      <c r="AC194" s="8">
        <v>5755.2791353572129</v>
      </c>
    </row>
    <row r="195" spans="1:29" x14ac:dyDescent="0.2">
      <c r="A195" s="7" t="s">
        <v>308</v>
      </c>
      <c r="B195" s="3" t="s">
        <v>309</v>
      </c>
      <c r="C195" s="3" t="s">
        <v>310</v>
      </c>
      <c r="D195" s="3"/>
      <c r="E195" s="8">
        <v>947</v>
      </c>
      <c r="F195" s="8">
        <v>845</v>
      </c>
      <c r="G195" s="8">
        <v>850</v>
      </c>
      <c r="H195" s="8">
        <v>893</v>
      </c>
      <c r="I195" s="8">
        <v>945</v>
      </c>
      <c r="J195" s="8">
        <v>978</v>
      </c>
      <c r="K195" s="8">
        <v>1048</v>
      </c>
      <c r="L195" s="8">
        <v>1091</v>
      </c>
      <c r="M195" s="8">
        <v>1084</v>
      </c>
      <c r="N195" s="8">
        <v>1342</v>
      </c>
      <c r="O195" s="8">
        <v>1064</v>
      </c>
      <c r="P195" s="8">
        <v>1171</v>
      </c>
      <c r="Q195" s="8">
        <v>1193</v>
      </c>
      <c r="R195" s="8">
        <v>1194</v>
      </c>
      <c r="S195" s="8">
        <v>1250</v>
      </c>
      <c r="T195" s="8">
        <v>1325</v>
      </c>
      <c r="U195" s="8">
        <v>1328.5913972237433</v>
      </c>
      <c r="V195" s="8">
        <v>1401.2178688926019</v>
      </c>
      <c r="W195" s="8">
        <v>1477.9780651503465</v>
      </c>
      <c r="X195" s="8">
        <v>1538.0878744193158</v>
      </c>
      <c r="Y195" s="8">
        <v>1515.1045944909999</v>
      </c>
      <c r="Z195" s="8">
        <v>1621.0379478664051</v>
      </c>
      <c r="AA195" s="8">
        <v>1487.7740250259399</v>
      </c>
      <c r="AB195" s="8">
        <v>1536.2103281325494</v>
      </c>
      <c r="AC195" s="8">
        <v>1513.4045166443841</v>
      </c>
    </row>
    <row r="196" spans="1:29" x14ac:dyDescent="0.2">
      <c r="A196" s="7" t="s">
        <v>311</v>
      </c>
      <c r="B196" s="3" t="s">
        <v>312</v>
      </c>
      <c r="C196" s="3" t="s">
        <v>313</v>
      </c>
      <c r="D196" s="3"/>
      <c r="E196" s="8">
        <v>16</v>
      </c>
      <c r="F196" s="8">
        <v>11</v>
      </c>
      <c r="G196" s="8">
        <v>9</v>
      </c>
      <c r="H196" s="8">
        <v>11</v>
      </c>
      <c r="I196" s="8">
        <v>8</v>
      </c>
      <c r="J196" s="8">
        <v>12</v>
      </c>
      <c r="K196" s="8">
        <v>14</v>
      </c>
      <c r="L196" s="8">
        <v>17</v>
      </c>
      <c r="M196" s="8">
        <v>21</v>
      </c>
      <c r="N196" s="8">
        <v>33</v>
      </c>
      <c r="O196" s="8">
        <v>40</v>
      </c>
      <c r="P196" s="8">
        <v>42</v>
      </c>
      <c r="Q196" s="8">
        <v>31</v>
      </c>
      <c r="R196" s="8">
        <v>72</v>
      </c>
      <c r="S196" s="8">
        <v>150</v>
      </c>
      <c r="T196" s="8">
        <v>171</v>
      </c>
      <c r="U196" s="8">
        <v>177.98441630627923</v>
      </c>
      <c r="V196" s="8">
        <v>185.13913735927184</v>
      </c>
      <c r="W196" s="8">
        <v>196.46949675721535</v>
      </c>
      <c r="X196" s="8">
        <v>202.59851793202995</v>
      </c>
      <c r="Y196" s="8">
        <v>208.82136534066916</v>
      </c>
      <c r="Z196" s="8">
        <v>215.82735133662865</v>
      </c>
      <c r="AA196" s="8">
        <v>223.0185111961907</v>
      </c>
      <c r="AB196" s="8">
        <v>228.86108934730808</v>
      </c>
      <c r="AC196" s="8">
        <v>235.05402990842566</v>
      </c>
    </row>
    <row r="197" spans="1:29" x14ac:dyDescent="0.2">
      <c r="A197" s="7" t="s">
        <v>314</v>
      </c>
      <c r="B197" s="3" t="s">
        <v>315</v>
      </c>
      <c r="C197" s="3" t="s">
        <v>316</v>
      </c>
      <c r="D197" s="3"/>
      <c r="E197" s="8">
        <v>522</v>
      </c>
      <c r="F197" s="8">
        <v>520</v>
      </c>
      <c r="G197" s="8">
        <v>524</v>
      </c>
      <c r="H197" s="8">
        <v>536</v>
      </c>
      <c r="I197" s="8">
        <v>599</v>
      </c>
      <c r="J197" s="8">
        <v>622</v>
      </c>
      <c r="K197" s="8">
        <v>634</v>
      </c>
      <c r="L197" s="8">
        <v>657</v>
      </c>
      <c r="M197" s="8">
        <v>680</v>
      </c>
      <c r="N197" s="8">
        <v>683</v>
      </c>
      <c r="O197" s="8">
        <v>675</v>
      </c>
      <c r="P197" s="8">
        <v>665</v>
      </c>
      <c r="Q197" s="8">
        <v>692</v>
      </c>
      <c r="R197" s="8">
        <v>711</v>
      </c>
      <c r="S197" s="8">
        <v>750</v>
      </c>
      <c r="T197" s="8">
        <v>778</v>
      </c>
      <c r="U197" s="8">
        <v>805.70372200829274</v>
      </c>
      <c r="V197" s="8">
        <v>826.20645560471689</v>
      </c>
      <c r="W197" s="8">
        <v>844.41698322611012</v>
      </c>
      <c r="X197" s="8">
        <v>860.6317761123687</v>
      </c>
      <c r="Y197" s="8">
        <v>877.08211755163836</v>
      </c>
      <c r="Z197" s="8">
        <v>896.72059267826353</v>
      </c>
      <c r="AA197" s="8">
        <v>914.72752832525725</v>
      </c>
      <c r="AB197" s="8">
        <v>916.61496819952242</v>
      </c>
      <c r="AC197" s="8">
        <v>927.61508265827922</v>
      </c>
    </row>
    <row r="198" spans="1:29" x14ac:dyDescent="0.2">
      <c r="A198" s="7" t="s">
        <v>317</v>
      </c>
      <c r="B198" s="3" t="s">
        <v>318</v>
      </c>
      <c r="C198" s="3" t="s">
        <v>319</v>
      </c>
      <c r="D198" s="3"/>
      <c r="E198" s="8">
        <v>2020</v>
      </c>
      <c r="F198" s="8">
        <v>2093</v>
      </c>
      <c r="G198" s="8">
        <v>2025</v>
      </c>
      <c r="H198" s="8">
        <v>2053</v>
      </c>
      <c r="I198" s="8">
        <v>2108</v>
      </c>
      <c r="J198" s="8">
        <v>2440</v>
      </c>
      <c r="K198" s="8">
        <v>2228</v>
      </c>
      <c r="L198" s="8">
        <v>2223</v>
      </c>
      <c r="M198" s="8">
        <v>2275</v>
      </c>
      <c r="N198" s="8">
        <v>2347</v>
      </c>
      <c r="O198" s="8">
        <v>2471</v>
      </c>
      <c r="P198" s="8">
        <v>2442</v>
      </c>
      <c r="Q198" s="8">
        <v>2519</v>
      </c>
      <c r="R198" s="8">
        <v>2589</v>
      </c>
      <c r="S198" s="8">
        <v>2471</v>
      </c>
      <c r="T198" s="8">
        <v>2573</v>
      </c>
      <c r="U198" s="8">
        <v>2829.1929998358692</v>
      </c>
      <c r="V198" s="8">
        <v>2705.7291121714029</v>
      </c>
      <c r="W198" s="8">
        <v>2710.3136081254279</v>
      </c>
      <c r="X198" s="8">
        <v>2747.4772671094984</v>
      </c>
      <c r="Y198" s="8">
        <v>2936.3686331524318</v>
      </c>
      <c r="Z198" s="8">
        <v>2865.6442639545708</v>
      </c>
      <c r="AA198" s="8">
        <v>2686.1806436685983</v>
      </c>
      <c r="AB198" s="8">
        <v>2774.892360374557</v>
      </c>
      <c r="AC198" s="8">
        <v>2980.8812074421808</v>
      </c>
    </row>
    <row r="199" spans="1:29" x14ac:dyDescent="0.2">
      <c r="A199" s="7" t="s">
        <v>320</v>
      </c>
      <c r="B199" s="3" t="s">
        <v>321</v>
      </c>
      <c r="C199" s="3" t="s">
        <v>322</v>
      </c>
      <c r="D199" s="3"/>
      <c r="E199" s="8">
        <v>29</v>
      </c>
      <c r="F199" s="8">
        <v>26</v>
      </c>
      <c r="G199" s="8">
        <v>27</v>
      </c>
      <c r="H199" s="8">
        <v>25</v>
      </c>
      <c r="I199" s="8">
        <v>24</v>
      </c>
      <c r="J199" s="8">
        <v>21</v>
      </c>
      <c r="K199" s="8">
        <v>20</v>
      </c>
      <c r="L199" s="8">
        <v>24</v>
      </c>
      <c r="M199" s="8">
        <v>24</v>
      </c>
      <c r="N199" s="8">
        <v>25</v>
      </c>
      <c r="O199" s="8">
        <v>1693</v>
      </c>
      <c r="P199" s="8">
        <v>1976</v>
      </c>
      <c r="Q199" s="8">
        <v>50</v>
      </c>
      <c r="R199" s="8">
        <v>51</v>
      </c>
      <c r="S199" s="8">
        <v>49</v>
      </c>
      <c r="T199" s="8">
        <v>45</v>
      </c>
      <c r="U199" s="8">
        <v>44.728964591428458</v>
      </c>
      <c r="V199" s="8">
        <v>45.203503586251102</v>
      </c>
      <c r="W199" s="8">
        <v>44.863170406046642</v>
      </c>
      <c r="X199" s="8">
        <v>45.361822230375587</v>
      </c>
      <c r="Y199" s="8">
        <v>45.819768328617478</v>
      </c>
      <c r="Z199" s="8">
        <v>46.3289417427128</v>
      </c>
      <c r="AA199" s="8">
        <v>46.609862824864344</v>
      </c>
      <c r="AB199" s="8">
        <v>46.89496569219277</v>
      </c>
      <c r="AC199" s="8">
        <v>47.228010286248384</v>
      </c>
    </row>
    <row r="200" spans="1:29" x14ac:dyDescent="0.2">
      <c r="A200" s="7" t="s">
        <v>323</v>
      </c>
      <c r="B200" s="3" t="s">
        <v>324</v>
      </c>
      <c r="C200" s="3" t="s">
        <v>325</v>
      </c>
      <c r="D200" s="3"/>
      <c r="E200" s="8">
        <v>24</v>
      </c>
      <c r="F200" s="8">
        <v>21</v>
      </c>
      <c r="G200" s="8">
        <v>24</v>
      </c>
      <c r="H200" s="8">
        <v>28</v>
      </c>
      <c r="I200" s="8">
        <v>17</v>
      </c>
      <c r="J200" s="8">
        <v>17</v>
      </c>
      <c r="K200" s="8">
        <v>22</v>
      </c>
      <c r="L200" s="8">
        <v>47</v>
      </c>
      <c r="M200" s="8">
        <v>22</v>
      </c>
      <c r="N200" s="8">
        <v>20</v>
      </c>
      <c r="O200" s="8">
        <v>22</v>
      </c>
      <c r="P200" s="8">
        <v>16</v>
      </c>
      <c r="Q200" s="8">
        <v>13</v>
      </c>
      <c r="R200" s="8">
        <v>10</v>
      </c>
      <c r="S200" s="8">
        <v>18</v>
      </c>
      <c r="T200" s="8">
        <v>22</v>
      </c>
      <c r="U200" s="8">
        <v>22.861945679004272</v>
      </c>
      <c r="V200" s="8">
        <v>23.071676036785682</v>
      </c>
      <c r="W200" s="8">
        <v>23.070375114493089</v>
      </c>
      <c r="X200" s="8">
        <v>23.210653892666123</v>
      </c>
      <c r="Y200" s="8">
        <v>23.376010372441051</v>
      </c>
      <c r="Z200" s="8">
        <v>23.569677126676435</v>
      </c>
      <c r="AA200" s="8">
        <v>23.9299011905686</v>
      </c>
      <c r="AB200" s="8">
        <v>24.069284814595829</v>
      </c>
      <c r="AC200" s="8">
        <v>24.232106616134132</v>
      </c>
    </row>
    <row r="201" spans="1:29" x14ac:dyDescent="0.2">
      <c r="A201" s="7" t="s">
        <v>326</v>
      </c>
      <c r="B201" s="3" t="s">
        <v>327</v>
      </c>
      <c r="C201" s="3" t="s">
        <v>328</v>
      </c>
      <c r="D201" s="3"/>
      <c r="E201" s="8">
        <v>1841</v>
      </c>
      <c r="F201" s="8">
        <v>1719</v>
      </c>
      <c r="G201" s="8">
        <v>1728</v>
      </c>
      <c r="H201" s="8">
        <v>1712</v>
      </c>
      <c r="I201" s="8">
        <v>1752</v>
      </c>
      <c r="J201" s="8">
        <v>1733</v>
      </c>
      <c r="K201" s="8">
        <v>1800</v>
      </c>
      <c r="L201" s="8">
        <v>1828</v>
      </c>
      <c r="M201" s="8">
        <v>1814</v>
      </c>
      <c r="N201" s="8">
        <v>2030</v>
      </c>
      <c r="O201" s="8">
        <v>475</v>
      </c>
      <c r="P201" s="8">
        <v>526</v>
      </c>
      <c r="Q201" s="8">
        <v>671</v>
      </c>
      <c r="R201" s="8">
        <v>601</v>
      </c>
      <c r="S201" s="8">
        <v>430</v>
      </c>
      <c r="T201" s="8">
        <v>449</v>
      </c>
      <c r="U201" s="8">
        <v>449.60054078251125</v>
      </c>
      <c r="V201" s="8">
        <v>449.64542176470582</v>
      </c>
      <c r="W201" s="8">
        <v>449.79145330434784</v>
      </c>
      <c r="X201" s="8">
        <v>449.86220981907894</v>
      </c>
      <c r="Y201" s="8">
        <v>449.90963713567265</v>
      </c>
      <c r="Z201" s="8">
        <v>449.97094879264705</v>
      </c>
      <c r="AA201" s="8">
        <v>449</v>
      </c>
      <c r="AB201" s="8">
        <v>449</v>
      </c>
      <c r="AC201" s="8">
        <v>449</v>
      </c>
    </row>
    <row r="202" spans="1:29" x14ac:dyDescent="0.2">
      <c r="A202" s="7" t="s">
        <v>329</v>
      </c>
      <c r="B202" s="3" t="s">
        <v>330</v>
      </c>
      <c r="C202" s="3" t="s">
        <v>331</v>
      </c>
      <c r="D202" s="3"/>
      <c r="E202" s="8">
        <v>1197</v>
      </c>
      <c r="F202" s="8">
        <v>1128</v>
      </c>
      <c r="G202" s="8">
        <v>1156</v>
      </c>
      <c r="H202" s="8">
        <v>1167</v>
      </c>
      <c r="I202" s="8">
        <v>1209</v>
      </c>
      <c r="J202" s="8">
        <v>1203</v>
      </c>
      <c r="K202" s="8">
        <v>1270</v>
      </c>
      <c r="L202" s="8">
        <v>1323</v>
      </c>
      <c r="M202" s="8">
        <v>1340</v>
      </c>
      <c r="N202" s="8">
        <v>1539</v>
      </c>
      <c r="O202" s="8" t="s">
        <v>526</v>
      </c>
      <c r="P202" s="8" t="s">
        <v>526</v>
      </c>
      <c r="Q202" s="8" t="s">
        <v>526</v>
      </c>
      <c r="R202" s="8" t="s">
        <v>526</v>
      </c>
      <c r="S202" s="8" t="s">
        <v>526</v>
      </c>
      <c r="T202" s="8" t="s">
        <v>526</v>
      </c>
      <c r="U202" s="8">
        <v>0</v>
      </c>
      <c r="V202" s="8">
        <v>0</v>
      </c>
      <c r="W202" s="8" t="s">
        <v>526</v>
      </c>
      <c r="X202" s="8" t="s">
        <v>526</v>
      </c>
      <c r="Y202" s="8" t="s">
        <v>526</v>
      </c>
      <c r="Z202" s="8" t="s">
        <v>526</v>
      </c>
      <c r="AA202" s="8" t="s">
        <v>526</v>
      </c>
      <c r="AB202" s="8" t="s">
        <v>526</v>
      </c>
      <c r="AC202" s="8" t="s">
        <v>526</v>
      </c>
    </row>
    <row r="203" spans="1:29" x14ac:dyDescent="0.2">
      <c r="A203" s="7" t="s">
        <v>295</v>
      </c>
      <c r="B203" s="3" t="s">
        <v>332</v>
      </c>
      <c r="C203" s="3" t="s">
        <v>333</v>
      </c>
      <c r="D203" s="3"/>
      <c r="E203" s="8">
        <v>86</v>
      </c>
      <c r="F203" s="8">
        <v>78</v>
      </c>
      <c r="G203" s="8">
        <v>77</v>
      </c>
      <c r="H203" s="8">
        <v>76</v>
      </c>
      <c r="I203" s="8">
        <v>75</v>
      </c>
      <c r="J203" s="8">
        <v>75</v>
      </c>
      <c r="K203" s="8">
        <v>72</v>
      </c>
      <c r="L203" s="8">
        <v>70</v>
      </c>
      <c r="M203" s="8">
        <v>72</v>
      </c>
      <c r="N203" s="8">
        <v>68</v>
      </c>
      <c r="O203" s="8">
        <v>65</v>
      </c>
      <c r="P203" s="8">
        <v>59</v>
      </c>
      <c r="Q203" s="8">
        <v>61</v>
      </c>
      <c r="R203" s="8">
        <v>61</v>
      </c>
      <c r="S203" s="8">
        <v>59</v>
      </c>
      <c r="T203" s="8">
        <v>56</v>
      </c>
      <c r="U203" s="8">
        <v>63.516741211849087</v>
      </c>
      <c r="V203" s="8">
        <v>63.159499256742812</v>
      </c>
      <c r="W203" s="8">
        <v>57.21889222309342</v>
      </c>
      <c r="X203" s="8">
        <v>56.445558889077923</v>
      </c>
      <c r="Y203" s="8">
        <v>58.363752836636188</v>
      </c>
      <c r="Z203" s="8">
        <v>58.170548197123075</v>
      </c>
      <c r="AA203" s="8">
        <v>53.753086625424281</v>
      </c>
      <c r="AB203" s="8">
        <v>52.140445182819299</v>
      </c>
      <c r="AC203" s="8">
        <v>52.250551702942374</v>
      </c>
    </row>
    <row r="204" spans="1:29" x14ac:dyDescent="0.2">
      <c r="A204" s="7" t="s">
        <v>334</v>
      </c>
      <c r="B204" s="3" t="s">
        <v>335</v>
      </c>
      <c r="C204" s="3" t="s">
        <v>336</v>
      </c>
      <c r="D204" s="3"/>
      <c r="E204" s="8">
        <v>608</v>
      </c>
      <c r="F204" s="8">
        <v>555</v>
      </c>
      <c r="G204" s="8">
        <v>546</v>
      </c>
      <c r="H204" s="8">
        <v>522</v>
      </c>
      <c r="I204" s="8">
        <v>520</v>
      </c>
      <c r="J204" s="8">
        <v>493</v>
      </c>
      <c r="K204" s="8">
        <v>493</v>
      </c>
      <c r="L204" s="8">
        <v>472</v>
      </c>
      <c r="M204" s="8">
        <v>446</v>
      </c>
      <c r="N204" s="8">
        <v>462</v>
      </c>
      <c r="O204" s="8">
        <v>448</v>
      </c>
      <c r="P204" s="8">
        <v>453</v>
      </c>
      <c r="Q204" s="8">
        <v>444</v>
      </c>
      <c r="R204" s="8">
        <v>433</v>
      </c>
      <c r="S204" s="8">
        <v>414</v>
      </c>
      <c r="T204" s="8">
        <v>404</v>
      </c>
      <c r="U204" s="8">
        <v>412.73597357203829</v>
      </c>
      <c r="V204" s="8">
        <v>409.46007374429053</v>
      </c>
      <c r="W204" s="8">
        <v>404.74370831498965</v>
      </c>
      <c r="X204" s="8">
        <v>400.49882531058222</v>
      </c>
      <c r="Y204" s="8">
        <v>414.42607097651427</v>
      </c>
      <c r="Z204" s="8">
        <v>411.80389342636624</v>
      </c>
      <c r="AA204" s="8">
        <v>404</v>
      </c>
      <c r="AB204" s="8">
        <v>404</v>
      </c>
      <c r="AC204" s="8">
        <v>404</v>
      </c>
    </row>
    <row r="205" spans="1:29" x14ac:dyDescent="0.2">
      <c r="A205" s="7" t="s">
        <v>317</v>
      </c>
      <c r="B205" s="3" t="s">
        <v>337</v>
      </c>
      <c r="C205" s="3" t="s">
        <v>338</v>
      </c>
      <c r="D205" s="3"/>
      <c r="E205" s="8">
        <v>31</v>
      </c>
      <c r="F205" s="8">
        <v>28</v>
      </c>
      <c r="G205" s="8">
        <v>17</v>
      </c>
      <c r="H205" s="8">
        <v>14</v>
      </c>
      <c r="I205" s="8">
        <v>14</v>
      </c>
      <c r="J205" s="8">
        <v>26</v>
      </c>
      <c r="K205" s="8">
        <v>17</v>
      </c>
      <c r="L205" s="8">
        <v>11</v>
      </c>
      <c r="M205" s="8">
        <v>5</v>
      </c>
      <c r="N205" s="8">
        <v>5</v>
      </c>
      <c r="O205" s="8">
        <v>4</v>
      </c>
      <c r="P205" s="8">
        <v>4</v>
      </c>
      <c r="Q205" s="8">
        <v>1</v>
      </c>
      <c r="R205" s="8">
        <v>2</v>
      </c>
      <c r="S205" s="8">
        <v>2</v>
      </c>
      <c r="T205" s="8">
        <v>2</v>
      </c>
      <c r="U205" s="8">
        <v>2</v>
      </c>
      <c r="V205" s="8">
        <v>2</v>
      </c>
      <c r="W205" s="8">
        <v>2</v>
      </c>
      <c r="X205" s="8">
        <v>2</v>
      </c>
      <c r="Y205" s="8">
        <v>2</v>
      </c>
      <c r="Z205" s="8">
        <v>2</v>
      </c>
      <c r="AA205" s="8">
        <v>2</v>
      </c>
      <c r="AB205" s="8">
        <v>2</v>
      </c>
      <c r="AC205" s="8">
        <v>2</v>
      </c>
    </row>
    <row r="206" spans="1:29" x14ac:dyDescent="0.2">
      <c r="A206" s="7" t="s">
        <v>339</v>
      </c>
      <c r="B206" s="3" t="s">
        <v>340</v>
      </c>
      <c r="C206" s="3" t="s">
        <v>341</v>
      </c>
      <c r="D206" s="3"/>
      <c r="E206" s="8">
        <v>3</v>
      </c>
      <c r="F206" s="8">
        <v>3</v>
      </c>
      <c r="G206" s="8">
        <v>3</v>
      </c>
      <c r="H206" s="8">
        <v>3</v>
      </c>
      <c r="I206" s="8">
        <v>3</v>
      </c>
      <c r="J206" s="8">
        <v>3</v>
      </c>
      <c r="K206" s="8">
        <v>3</v>
      </c>
      <c r="L206" s="8">
        <v>3</v>
      </c>
      <c r="M206" s="8">
        <v>3</v>
      </c>
      <c r="N206" s="8">
        <v>3</v>
      </c>
      <c r="O206" s="8">
        <v>2</v>
      </c>
      <c r="P206" s="8">
        <v>3</v>
      </c>
      <c r="Q206" s="8">
        <v>3</v>
      </c>
      <c r="R206" s="8">
        <v>3</v>
      </c>
      <c r="S206" s="8">
        <v>3</v>
      </c>
      <c r="T206" s="8">
        <v>13</v>
      </c>
      <c r="U206" s="8">
        <v>13.126989270230819</v>
      </c>
      <c r="V206" s="8">
        <v>13.181338256708331</v>
      </c>
      <c r="W206" s="8">
        <v>13.277103058100792</v>
      </c>
      <c r="X206" s="8">
        <v>13.336067819393595</v>
      </c>
      <c r="Y206" s="8">
        <v>13.405501247220821</v>
      </c>
      <c r="Z206" s="8">
        <v>13.485390308129771</v>
      </c>
      <c r="AA206" s="8">
        <v>13</v>
      </c>
      <c r="AB206" s="8">
        <v>13</v>
      </c>
      <c r="AC206" s="8">
        <v>13</v>
      </c>
    </row>
    <row r="207" spans="1:29" x14ac:dyDescent="0.2">
      <c r="A207" s="7" t="s">
        <v>342</v>
      </c>
      <c r="B207" s="3" t="s">
        <v>343</v>
      </c>
      <c r="C207" s="3" t="s">
        <v>344</v>
      </c>
      <c r="D207" s="3"/>
      <c r="E207" s="8">
        <v>2</v>
      </c>
      <c r="F207" s="8">
        <v>5</v>
      </c>
      <c r="G207" s="8">
        <v>6</v>
      </c>
      <c r="H207" s="8">
        <v>6</v>
      </c>
      <c r="I207" s="8">
        <v>6</v>
      </c>
      <c r="J207" s="8">
        <v>8</v>
      </c>
      <c r="K207" s="8">
        <v>17</v>
      </c>
      <c r="L207" s="8">
        <v>19</v>
      </c>
      <c r="M207" s="8">
        <v>20</v>
      </c>
      <c r="N207" s="8">
        <v>21</v>
      </c>
      <c r="O207" s="8">
        <v>21</v>
      </c>
      <c r="P207" s="8">
        <v>66</v>
      </c>
      <c r="Q207" s="8">
        <v>223</v>
      </c>
      <c r="R207" s="8">
        <v>163</v>
      </c>
      <c r="S207" s="8">
        <v>11</v>
      </c>
      <c r="T207" s="8">
        <v>30</v>
      </c>
      <c r="U207" s="8">
        <v>29.466666666666669</v>
      </c>
      <c r="V207" s="8">
        <v>29.466666666666669</v>
      </c>
      <c r="W207" s="8">
        <v>29.2</v>
      </c>
      <c r="X207" s="8">
        <v>29.2</v>
      </c>
      <c r="Y207" s="8">
        <v>29.2</v>
      </c>
      <c r="Z207" s="8">
        <v>29.2</v>
      </c>
      <c r="AA207" s="8">
        <v>28.666666666666668</v>
      </c>
      <c r="AB207" s="8">
        <v>28.666666666666668</v>
      </c>
      <c r="AC207" s="8">
        <v>28.666666666666668</v>
      </c>
    </row>
    <row r="208" spans="1:29" x14ac:dyDescent="0.2">
      <c r="A208" s="7" t="s">
        <v>345</v>
      </c>
      <c r="B208" s="3" t="s">
        <v>346</v>
      </c>
      <c r="C208" s="3" t="s">
        <v>347</v>
      </c>
      <c r="D208" s="3"/>
      <c r="E208" s="8">
        <v>36</v>
      </c>
      <c r="F208" s="8">
        <v>36</v>
      </c>
      <c r="G208" s="8">
        <v>26</v>
      </c>
      <c r="H208" s="8">
        <v>23</v>
      </c>
      <c r="I208" s="8">
        <v>23</v>
      </c>
      <c r="J208" s="8">
        <v>37</v>
      </c>
      <c r="K208" s="8">
        <v>37</v>
      </c>
      <c r="L208" s="8">
        <v>33</v>
      </c>
      <c r="M208" s="8">
        <v>28</v>
      </c>
      <c r="N208" s="8">
        <v>29</v>
      </c>
      <c r="O208" s="8">
        <v>27</v>
      </c>
      <c r="P208" s="8">
        <v>73</v>
      </c>
      <c r="Q208" s="8">
        <v>227</v>
      </c>
      <c r="R208" s="8">
        <v>168</v>
      </c>
      <c r="S208" s="8">
        <v>16</v>
      </c>
      <c r="T208" s="8">
        <v>45</v>
      </c>
      <c r="U208" s="8">
        <v>47.114069630074717</v>
      </c>
      <c r="V208" s="8">
        <v>49.473282850887095</v>
      </c>
      <c r="W208" s="8">
        <v>49.578468145340587</v>
      </c>
      <c r="X208" s="8">
        <v>51.384363699088347</v>
      </c>
      <c r="Y208" s="8">
        <v>53.515818440030976</v>
      </c>
      <c r="Z208" s="8">
        <v>56.065890254504225</v>
      </c>
      <c r="AA208" s="8">
        <v>56.269039774050391</v>
      </c>
      <c r="AB208" s="8">
        <v>58.264759845349388</v>
      </c>
      <c r="AC208" s="8">
        <v>60.596072003738712</v>
      </c>
    </row>
    <row r="209" spans="1:29" x14ac:dyDescent="0.2">
      <c r="A209" s="7" t="s">
        <v>348</v>
      </c>
      <c r="B209" s="3" t="s">
        <v>349</v>
      </c>
      <c r="C209" s="3" t="s">
        <v>350</v>
      </c>
      <c r="D209" s="3"/>
      <c r="E209" s="8">
        <v>5399</v>
      </c>
      <c r="F209" s="8">
        <v>5235</v>
      </c>
      <c r="G209" s="8">
        <v>5187</v>
      </c>
      <c r="H209" s="8">
        <v>5258</v>
      </c>
      <c r="I209" s="8">
        <v>5453</v>
      </c>
      <c r="J209" s="8">
        <v>5823</v>
      </c>
      <c r="K209" s="8">
        <v>5766</v>
      </c>
      <c r="L209" s="8">
        <v>5887</v>
      </c>
      <c r="M209" s="8">
        <v>5920</v>
      </c>
      <c r="N209" s="8">
        <v>6480</v>
      </c>
      <c r="O209" s="8">
        <v>6440</v>
      </c>
      <c r="P209" s="8">
        <v>6838</v>
      </c>
      <c r="Q209" s="8">
        <v>6910</v>
      </c>
      <c r="R209" s="8">
        <v>6686</v>
      </c>
      <c r="S209" s="8">
        <v>5118</v>
      </c>
      <c r="T209" s="8">
        <v>5363</v>
      </c>
      <c r="U209" s="8">
        <v>5435.8039921167128</v>
      </c>
      <c r="V209" s="8">
        <v>5551.0413731843882</v>
      </c>
      <c r="W209" s="8">
        <v>5582.1796374039604</v>
      </c>
      <c r="X209" s="8">
        <v>5655.5708963314582</v>
      </c>
      <c r="Y209" s="8">
        <v>5845.2872522543539</v>
      </c>
      <c r="Z209" s="8">
        <v>6044.3706965237516</v>
      </c>
      <c r="AA209" s="8">
        <v>6195.3210985724209</v>
      </c>
      <c r="AB209" s="8">
        <v>6288.6794262145459</v>
      </c>
      <c r="AC209" s="8">
        <v>6473.2359421362225</v>
      </c>
    </row>
    <row r="210" spans="1:29" x14ac:dyDescent="0.2">
      <c r="A210" s="7" t="s">
        <v>351</v>
      </c>
      <c r="B210" s="3" t="s">
        <v>352</v>
      </c>
      <c r="C210" s="3" t="s">
        <v>353</v>
      </c>
      <c r="D210" s="3"/>
      <c r="E210" s="8">
        <v>2233</v>
      </c>
      <c r="F210" s="8">
        <v>2401</v>
      </c>
      <c r="G210" s="8">
        <v>2342</v>
      </c>
      <c r="H210" s="8">
        <v>2054</v>
      </c>
      <c r="I210" s="8">
        <v>2139</v>
      </c>
      <c r="J210" s="8">
        <v>2523</v>
      </c>
      <c r="K210" s="8">
        <v>3309</v>
      </c>
      <c r="L210" s="8">
        <v>4259</v>
      </c>
      <c r="M210" s="8">
        <v>4633</v>
      </c>
      <c r="N210" s="8">
        <v>5525</v>
      </c>
      <c r="O210" s="8">
        <v>6247</v>
      </c>
      <c r="P210" s="8">
        <v>6627</v>
      </c>
      <c r="Q210" s="8">
        <v>7779</v>
      </c>
      <c r="R210" s="8">
        <v>8329</v>
      </c>
      <c r="S210" s="8">
        <v>8010</v>
      </c>
      <c r="T210" s="8">
        <v>8385</v>
      </c>
      <c r="U210" s="8">
        <v>8910.4</v>
      </c>
      <c r="V210" s="8">
        <v>9454.2999999999993</v>
      </c>
      <c r="W210" s="8">
        <v>9976.4285714285725</v>
      </c>
      <c r="X210" s="8">
        <v>10490.5</v>
      </c>
      <c r="Y210" s="8">
        <v>11030.857142857143</v>
      </c>
      <c r="Z210" s="8">
        <v>11653.285714285716</v>
      </c>
      <c r="AA210" s="8">
        <v>11639.571428571428</v>
      </c>
      <c r="AB210" s="8">
        <v>12215.285714285716</v>
      </c>
      <c r="AC210" s="8">
        <v>12787.857142857143</v>
      </c>
    </row>
    <row r="211" spans="1:29" x14ac:dyDescent="0.2">
      <c r="A211" s="7" t="s">
        <v>354</v>
      </c>
      <c r="B211" s="3" t="s">
        <v>355</v>
      </c>
      <c r="C211" s="3" t="s">
        <v>356</v>
      </c>
      <c r="D211" s="3"/>
      <c r="E211" s="8">
        <v>4789</v>
      </c>
      <c r="F211" s="8">
        <v>4789</v>
      </c>
      <c r="G211" s="8">
        <v>4864</v>
      </c>
      <c r="H211" s="8">
        <v>4899</v>
      </c>
      <c r="I211" s="8">
        <v>4931</v>
      </c>
      <c r="J211" s="8">
        <v>5155</v>
      </c>
      <c r="K211" s="8">
        <v>5397</v>
      </c>
      <c r="L211" s="8">
        <v>5637</v>
      </c>
      <c r="M211" s="8">
        <v>5825</v>
      </c>
      <c r="N211" s="8">
        <v>6124</v>
      </c>
      <c r="O211" s="8">
        <v>6328</v>
      </c>
      <c r="P211" s="8">
        <v>6420</v>
      </c>
      <c r="Q211" s="8">
        <v>6459</v>
      </c>
      <c r="R211" s="8">
        <v>6496</v>
      </c>
      <c r="S211" s="8">
        <v>6560</v>
      </c>
      <c r="T211" s="8">
        <v>6624</v>
      </c>
      <c r="U211" s="8">
        <v>6604.753924141306</v>
      </c>
      <c r="V211" s="8">
        <v>6579.5247750542494</v>
      </c>
      <c r="W211" s="8">
        <v>6412.6148156205236</v>
      </c>
      <c r="X211" s="8">
        <v>6322.4145327519354</v>
      </c>
      <c r="Y211" s="8">
        <v>6207.2247673590655</v>
      </c>
      <c r="Z211" s="8">
        <v>6083.4036824223404</v>
      </c>
      <c r="AA211" s="8">
        <v>5266.515625117514</v>
      </c>
      <c r="AB211" s="8">
        <v>5028.075176034049</v>
      </c>
      <c r="AC211" s="8">
        <v>4741.585796290211</v>
      </c>
    </row>
    <row r="212" spans="1:29" x14ac:dyDescent="0.2">
      <c r="A212" s="7" t="s">
        <v>357</v>
      </c>
      <c r="B212" s="3" t="s">
        <v>358</v>
      </c>
      <c r="C212" s="3" t="s">
        <v>359</v>
      </c>
      <c r="D212" s="3"/>
      <c r="E212" s="8">
        <v>262</v>
      </c>
      <c r="F212" s="8">
        <v>262</v>
      </c>
      <c r="G212" s="8">
        <v>262</v>
      </c>
      <c r="H212" s="8">
        <v>262</v>
      </c>
      <c r="I212" s="8">
        <v>262</v>
      </c>
      <c r="J212" s="8">
        <v>262</v>
      </c>
      <c r="K212" s="8">
        <v>262</v>
      </c>
      <c r="L212" s="8">
        <v>262</v>
      </c>
      <c r="M212" s="8">
        <v>262</v>
      </c>
      <c r="N212" s="8">
        <v>262</v>
      </c>
      <c r="O212" s="8">
        <v>262</v>
      </c>
      <c r="P212" s="8">
        <v>262</v>
      </c>
      <c r="Q212" s="8">
        <v>328</v>
      </c>
      <c r="R212" s="8">
        <v>701</v>
      </c>
      <c r="S212" s="8">
        <v>1007</v>
      </c>
      <c r="T212" s="8">
        <v>1248</v>
      </c>
      <c r="U212" s="8">
        <v>1411.5567429385108</v>
      </c>
      <c r="V212" s="8">
        <v>1581.5899338140325</v>
      </c>
      <c r="W212" s="8">
        <v>1608.226886660997</v>
      </c>
      <c r="X212" s="8">
        <v>1765.6763324718561</v>
      </c>
      <c r="Y212" s="8">
        <v>1923.1812765374684</v>
      </c>
      <c r="Z212" s="8">
        <v>2086.143572896377</v>
      </c>
      <c r="AA212" s="8">
        <v>1248</v>
      </c>
      <c r="AB212" s="8">
        <v>1248</v>
      </c>
      <c r="AC212" s="8">
        <v>1248</v>
      </c>
    </row>
    <row r="213" spans="1:29" x14ac:dyDescent="0.2">
      <c r="A213" s="7" t="s">
        <v>360</v>
      </c>
      <c r="B213" s="3" t="s">
        <v>361</v>
      </c>
      <c r="C213" s="3" t="s">
        <v>362</v>
      </c>
      <c r="D213" s="3"/>
      <c r="E213" s="8">
        <v>1085</v>
      </c>
      <c r="F213" s="8">
        <v>1521</v>
      </c>
      <c r="G213" s="8">
        <v>1615</v>
      </c>
      <c r="H213" s="8">
        <v>1594</v>
      </c>
      <c r="I213" s="8">
        <v>1582</v>
      </c>
      <c r="J213" s="8">
        <v>1812</v>
      </c>
      <c r="K213" s="8">
        <v>2159</v>
      </c>
      <c r="L213" s="8">
        <v>2595</v>
      </c>
      <c r="M213" s="8">
        <v>2481</v>
      </c>
      <c r="N213" s="8">
        <v>2707</v>
      </c>
      <c r="O213" s="8">
        <v>3000</v>
      </c>
      <c r="P213" s="8">
        <v>3374</v>
      </c>
      <c r="Q213" s="8">
        <v>3654</v>
      </c>
      <c r="R213" s="8">
        <v>3366</v>
      </c>
      <c r="S213" s="8">
        <v>2581</v>
      </c>
      <c r="T213" s="8">
        <v>2588</v>
      </c>
      <c r="U213" s="8">
        <v>2813.3028278044994</v>
      </c>
      <c r="V213" s="8">
        <v>2810.055515016988</v>
      </c>
      <c r="W213" s="8">
        <v>2874.5551458787259</v>
      </c>
      <c r="X213" s="8">
        <v>2873.5401985791441</v>
      </c>
      <c r="Y213" s="8">
        <v>2876.6040856332115</v>
      </c>
      <c r="Z213" s="8">
        <v>2879.7628908045176</v>
      </c>
      <c r="AA213" s="8">
        <v>2573.2870555225063</v>
      </c>
      <c r="AB213" s="8">
        <v>2570.4602172888813</v>
      </c>
      <c r="AC213" s="8">
        <v>2566.9627567110879</v>
      </c>
    </row>
    <row r="214" spans="1:29" x14ac:dyDescent="0.2">
      <c r="A214" s="7" t="s">
        <v>363</v>
      </c>
      <c r="B214" s="3" t="s">
        <v>364</v>
      </c>
      <c r="C214" s="3" t="s">
        <v>365</v>
      </c>
      <c r="D214" s="3"/>
      <c r="E214" s="8">
        <v>-3379</v>
      </c>
      <c r="F214" s="8">
        <v>-3647</v>
      </c>
      <c r="G214" s="8">
        <v>-3875</v>
      </c>
      <c r="H214" s="8">
        <v>-4177</v>
      </c>
      <c r="I214" s="8">
        <v>-4112</v>
      </c>
      <c r="J214" s="8">
        <v>-4182</v>
      </c>
      <c r="K214" s="8">
        <v>-3985</v>
      </c>
      <c r="L214" s="8">
        <v>-3711</v>
      </c>
      <c r="M214" s="8">
        <v>-3411</v>
      </c>
      <c r="N214" s="8">
        <v>-3044</v>
      </c>
      <c r="O214" s="8">
        <v>-2819</v>
      </c>
      <c r="P214" s="8">
        <v>-2905</v>
      </c>
      <c r="Q214" s="8">
        <v>-2006</v>
      </c>
      <c r="R214" s="8">
        <v>-832</v>
      </c>
      <c r="S214" s="8">
        <v>-124</v>
      </c>
      <c r="T214" s="8">
        <v>421</v>
      </c>
      <c r="U214" s="8">
        <v>895.30863547768297</v>
      </c>
      <c r="V214" s="8">
        <v>1544.1705747623632</v>
      </c>
      <c r="W214" s="8">
        <v>2178.1596323911285</v>
      </c>
      <c r="X214" s="8">
        <v>2857.4498049638019</v>
      </c>
      <c r="Y214" s="8">
        <v>3568.1619752705042</v>
      </c>
      <c r="Z214" s="8">
        <v>4366.1435544392334</v>
      </c>
      <c r="AA214" s="8">
        <v>4642.7777769394906</v>
      </c>
      <c r="AB214" s="8">
        <v>5393.7821254319506</v>
      </c>
      <c r="AC214" s="8">
        <v>6180.5467151886369</v>
      </c>
    </row>
    <row r="215" spans="1:29" x14ac:dyDescent="0.2">
      <c r="A215" s="7" t="s">
        <v>366</v>
      </c>
      <c r="B215" s="3" t="s">
        <v>302</v>
      </c>
      <c r="C215" s="3" t="s">
        <v>303</v>
      </c>
      <c r="D215" s="3"/>
      <c r="E215" s="8">
        <v>7632</v>
      </c>
      <c r="F215" s="8">
        <v>7636</v>
      </c>
      <c r="G215" s="8">
        <v>7529</v>
      </c>
      <c r="H215" s="8">
        <v>7312</v>
      </c>
      <c r="I215" s="8">
        <v>7592</v>
      </c>
      <c r="J215" s="8">
        <v>8346</v>
      </c>
      <c r="K215" s="8">
        <v>9075</v>
      </c>
      <c r="L215" s="8">
        <v>10146</v>
      </c>
      <c r="M215" s="8">
        <v>10553</v>
      </c>
      <c r="N215" s="8">
        <v>12005</v>
      </c>
      <c r="O215" s="8">
        <v>12687</v>
      </c>
      <c r="P215" s="8">
        <v>13465</v>
      </c>
      <c r="Q215" s="8">
        <v>14689</v>
      </c>
      <c r="R215" s="8">
        <v>15015</v>
      </c>
      <c r="S215" s="8">
        <v>13128</v>
      </c>
      <c r="T215" s="8">
        <v>13748</v>
      </c>
      <c r="U215" s="8">
        <v>14419.596832422314</v>
      </c>
      <c r="V215" s="8">
        <v>14945.810804924602</v>
      </c>
      <c r="W215" s="8">
        <v>15517.610679718777</v>
      </c>
      <c r="X215" s="8">
        <v>16139.046065687009</v>
      </c>
      <c r="Y215" s="8">
        <v>16867.632447315766</v>
      </c>
      <c r="Z215" s="8">
        <v>17552.997647999549</v>
      </c>
      <c r="AA215" s="8">
        <v>17506.240212235156</v>
      </c>
      <c r="AB215" s="8">
        <v>18205.922092783352</v>
      </c>
      <c r="AC215" s="8">
        <v>18979.045322623359</v>
      </c>
    </row>
    <row r="216" spans="1:29" x14ac:dyDescent="0.2">
      <c r="A216" s="7" t="s">
        <v>14</v>
      </c>
      <c r="B216" s="3"/>
      <c r="C216" s="3"/>
      <c r="D216" s="3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">
      <c r="A217" s="7" t="s">
        <v>367</v>
      </c>
      <c r="B217" s="3"/>
      <c r="C217" s="3"/>
      <c r="D217" s="3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">
      <c r="A218" s="7" t="s">
        <v>368</v>
      </c>
      <c r="B218" s="3" t="s">
        <v>369</v>
      </c>
      <c r="C218" s="3" t="s">
        <v>370</v>
      </c>
      <c r="D218" s="3"/>
      <c r="E218" s="8">
        <v>0</v>
      </c>
      <c r="F218" s="8">
        <v>0</v>
      </c>
      <c r="G218" s="8">
        <v>0</v>
      </c>
      <c r="H218" s="8" t="s">
        <v>526</v>
      </c>
      <c r="I218" s="8" t="s">
        <v>526</v>
      </c>
      <c r="J218" s="8" t="s">
        <v>526</v>
      </c>
      <c r="K218" s="8" t="s">
        <v>526</v>
      </c>
      <c r="L218" s="8" t="s">
        <v>526</v>
      </c>
      <c r="M218" s="8" t="s">
        <v>526</v>
      </c>
      <c r="N218" s="8" t="s">
        <v>526</v>
      </c>
      <c r="O218" s="8" t="s">
        <v>526</v>
      </c>
      <c r="P218" s="8">
        <v>0</v>
      </c>
      <c r="Q218" s="8">
        <v>0.11212999999999999</v>
      </c>
      <c r="R218" s="8">
        <v>1.156093</v>
      </c>
      <c r="S218" s="8">
        <v>1.02335</v>
      </c>
      <c r="T218" s="8" t="s">
        <v>526</v>
      </c>
      <c r="U218" s="8">
        <v>0.57361734019431521</v>
      </c>
      <c r="V218" s="8">
        <v>0.56294942821522853</v>
      </c>
      <c r="W218" s="8">
        <v>0.43570044887117743</v>
      </c>
      <c r="X218" s="8">
        <v>0.43570044887117743</v>
      </c>
      <c r="Y218" s="8">
        <v>0.43570044887117743</v>
      </c>
      <c r="Z218" s="8">
        <v>0.43570044887117743</v>
      </c>
      <c r="AA218" s="8">
        <v>0.43570044887117743</v>
      </c>
      <c r="AB218" s="8">
        <v>0.43570044887117743</v>
      </c>
      <c r="AC218" s="8">
        <v>0.43570044887117743</v>
      </c>
    </row>
    <row r="219" spans="1:29" x14ac:dyDescent="0.2">
      <c r="A219" s="7" t="s">
        <v>371</v>
      </c>
      <c r="B219" s="3" t="s">
        <v>372</v>
      </c>
      <c r="C219" s="3" t="s">
        <v>373</v>
      </c>
      <c r="D219" s="3"/>
      <c r="E219" s="8">
        <v>-16.551724137931036</v>
      </c>
      <c r="F219" s="8">
        <v>-26.061946902654871</v>
      </c>
      <c r="G219" s="8">
        <v>-38.093116507017157</v>
      </c>
      <c r="H219" s="8">
        <v>-45.510907003444316</v>
      </c>
      <c r="I219" s="8">
        <v>-33.485818847209515</v>
      </c>
      <c r="J219" s="8">
        <v>-21.608448415922016</v>
      </c>
      <c r="K219" s="8">
        <v>-3.8931162626083879</v>
      </c>
      <c r="L219" s="8">
        <v>14.763187074291146</v>
      </c>
      <c r="M219" s="8">
        <v>20.702894270525693</v>
      </c>
      <c r="N219" s="8">
        <v>28.280318091451289</v>
      </c>
      <c r="O219" s="8">
        <v>24.403516115529513</v>
      </c>
      <c r="P219" s="8">
        <v>14.808010288443874</v>
      </c>
      <c r="Q219" s="8">
        <v>22.639381243957459</v>
      </c>
      <c r="R219" s="8">
        <v>31.933015735527647</v>
      </c>
      <c r="S219" s="8">
        <v>37.988356596759488</v>
      </c>
      <c r="T219" s="8">
        <v>44.484412470023983</v>
      </c>
      <c r="U219" s="8">
        <v>22.642499999999998</v>
      </c>
      <c r="V219" s="8">
        <v>22.987500000000001</v>
      </c>
      <c r="W219" s="8">
        <v>21.353333333333335</v>
      </c>
      <c r="X219" s="8">
        <v>21.783333333333331</v>
      </c>
      <c r="Y219" s="8">
        <v>20.045000000000002</v>
      </c>
      <c r="Z219" s="8">
        <v>20.75</v>
      </c>
      <c r="AA219" s="8">
        <v>32.770000000000003</v>
      </c>
      <c r="AB219" s="8">
        <v>32.5</v>
      </c>
      <c r="AC219" s="8">
        <v>33.01</v>
      </c>
    </row>
    <row r="220" spans="1:29" x14ac:dyDescent="0.2">
      <c r="A220" s="7" t="s">
        <v>374</v>
      </c>
      <c r="B220" s="3" t="s">
        <v>375</v>
      </c>
      <c r="C220" s="3" t="s">
        <v>376</v>
      </c>
      <c r="D220" s="3"/>
      <c r="E220" s="8">
        <v>-2.7221120306408593</v>
      </c>
      <c r="F220" s="8">
        <v>-5.808456031338646</v>
      </c>
      <c r="G220" s="8">
        <v>-10.790774299835256</v>
      </c>
      <c r="H220" s="8">
        <v>-13.102040816326529</v>
      </c>
      <c r="I220" s="8">
        <v>-9.6163951655281128</v>
      </c>
      <c r="J220" s="8">
        <v>-6.6574896758853708</v>
      </c>
      <c r="K220" s="8">
        <v>-1.3249819320645628</v>
      </c>
      <c r="L220" s="8">
        <v>5.33852674991408</v>
      </c>
      <c r="M220" s="8">
        <v>7.7266464590796362</v>
      </c>
      <c r="N220" s="8">
        <v>11.183725615448873</v>
      </c>
      <c r="O220" s="8">
        <v>10.715926844959103</v>
      </c>
      <c r="P220" s="8">
        <v>6.8273262462411584</v>
      </c>
      <c r="Q220" s="8">
        <v>11.132239917597655</v>
      </c>
      <c r="R220" s="8">
        <v>16.373056994818651</v>
      </c>
      <c r="S220" s="8">
        <v>20.98005035831881</v>
      </c>
      <c r="T220" s="8">
        <v>24.539742035056776</v>
      </c>
      <c r="U220" s="8">
        <v>3.9751080696853376</v>
      </c>
      <c r="V220" s="8">
        <v>4.6177868563808762</v>
      </c>
      <c r="W220" s="8">
        <v>5.0153630042239312</v>
      </c>
      <c r="X220" s="8">
        <v>4.7078216626857978</v>
      </c>
      <c r="Y220" s="8">
        <v>4.6256856398570427</v>
      </c>
      <c r="Z220" s="8">
        <v>5.0739787431578396</v>
      </c>
      <c r="AA220" s="8">
        <v>5.2815325031474876</v>
      </c>
      <c r="AB220" s="8">
        <v>4.91537923552825</v>
      </c>
      <c r="AC220" s="8">
        <v>4.8216393023634323</v>
      </c>
    </row>
    <row r="221" spans="1:29" x14ac:dyDescent="0.2">
      <c r="A221" s="7" t="s">
        <v>377</v>
      </c>
      <c r="B221" s="3" t="s">
        <v>378</v>
      </c>
      <c r="C221" s="3" t="s">
        <v>379</v>
      </c>
      <c r="D221" s="3"/>
      <c r="E221" s="8">
        <v>1.3094435075885329</v>
      </c>
      <c r="F221" s="8">
        <v>1.2377701934015928</v>
      </c>
      <c r="G221" s="8">
        <v>1.241110147441457</v>
      </c>
      <c r="H221" s="8">
        <v>1.2208121827411167</v>
      </c>
      <c r="I221" s="8">
        <v>1.2685760605241827</v>
      </c>
      <c r="J221" s="8">
        <v>1.2860635696821516</v>
      </c>
      <c r="K221" s="8">
        <v>1.4230963187090266</v>
      </c>
      <c r="L221" s="8">
        <v>1.5629465385562946</v>
      </c>
      <c r="M221" s="8">
        <v>1.7055528494885532</v>
      </c>
      <c r="N221" s="8">
        <v>1.8829213483146068</v>
      </c>
      <c r="O221" s="8">
        <v>1.4843252305113159</v>
      </c>
      <c r="P221" s="8">
        <v>1.4732256020278833</v>
      </c>
      <c r="Q221" s="8">
        <v>1.6119570443981408</v>
      </c>
      <c r="R221" s="8">
        <v>1.7248972884141331</v>
      </c>
      <c r="S221" s="8">
        <v>2.0603668941979523</v>
      </c>
      <c r="T221" s="8">
        <v>2.1115181115181114</v>
      </c>
      <c r="U221" s="8">
        <v>2.1891339025352958</v>
      </c>
      <c r="V221" s="8">
        <v>2.2936518215037798</v>
      </c>
      <c r="W221" s="8">
        <v>2.3912582898251178</v>
      </c>
      <c r="X221" s="8">
        <v>2.4630782749505826</v>
      </c>
      <c r="Y221" s="8">
        <v>2.5256402218030027</v>
      </c>
      <c r="Z221" s="8">
        <v>2.6194911106265146</v>
      </c>
      <c r="AA221" s="8">
        <v>2.6473465163498129</v>
      </c>
      <c r="AB221" s="8">
        <v>2.7208435427510627</v>
      </c>
      <c r="AC221" s="8">
        <v>2.7785788717701054</v>
      </c>
    </row>
    <row r="222" spans="1:29" x14ac:dyDescent="0.2">
      <c r="A222" s="7" t="s">
        <v>380</v>
      </c>
      <c r="B222" s="3" t="s">
        <v>381</v>
      </c>
      <c r="C222" s="3" t="s">
        <v>382</v>
      </c>
      <c r="D222" s="3"/>
      <c r="E222" s="8">
        <v>11.343154968054744</v>
      </c>
      <c r="F222" s="8">
        <v>12.42153962433115</v>
      </c>
      <c r="G222" s="8">
        <v>11.894747432915935</v>
      </c>
      <c r="H222" s="8">
        <v>10.395071946398273</v>
      </c>
      <c r="I222" s="8">
        <v>10.975888180134779</v>
      </c>
      <c r="J222" s="8">
        <v>12.797791560740594</v>
      </c>
      <c r="K222" s="8">
        <v>16.360434502683976</v>
      </c>
      <c r="L222" s="8">
        <v>20.851259958067772</v>
      </c>
      <c r="M222" s="8">
        <v>22.926717466855543</v>
      </c>
      <c r="N222" s="8">
        <v>27.104005584965538</v>
      </c>
      <c r="O222" s="8">
        <v>30.645922544552484</v>
      </c>
      <c r="P222" s="8">
        <v>31.786426677786238</v>
      </c>
      <c r="Q222" s="8">
        <v>37.746797346315233</v>
      </c>
      <c r="R222" s="8">
        <v>40.464935845635324</v>
      </c>
      <c r="S222" s="8">
        <v>38.955342980858276</v>
      </c>
      <c r="T222" s="8">
        <v>40.737001688756415</v>
      </c>
      <c r="U222" s="8">
        <v>41.771269643036661</v>
      </c>
      <c r="V222" s="8">
        <v>43.763847189778829</v>
      </c>
      <c r="W222" s="8">
        <v>46.20116987447247</v>
      </c>
      <c r="X222" s="8">
        <v>48.991930945472291</v>
      </c>
      <c r="Y222" s="8">
        <v>51.40683634148597</v>
      </c>
      <c r="Z222" s="8">
        <v>54.005128179553793</v>
      </c>
      <c r="AA222" s="8">
        <v>53.286330076091339</v>
      </c>
      <c r="AB222" s="8">
        <v>56.569052377028726</v>
      </c>
      <c r="AC222" s="8">
        <v>58.858400532024547</v>
      </c>
    </row>
    <row r="223" spans="1:29" x14ac:dyDescent="0.2">
      <c r="A223" s="7" t="s">
        <v>14</v>
      </c>
      <c r="B223" s="3"/>
      <c r="C223" s="3"/>
      <c r="D223" s="3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">
      <c r="A224" s="7" t="s">
        <v>383</v>
      </c>
      <c r="B224" s="3"/>
      <c r="C224" s="3"/>
      <c r="D224" s="3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">
      <c r="A225" s="7" t="s">
        <v>384</v>
      </c>
      <c r="B225" s="3"/>
      <c r="C225" s="3"/>
      <c r="D225" s="3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">
      <c r="A226" s="7" t="s">
        <v>227</v>
      </c>
      <c r="B226" s="3" t="s">
        <v>198</v>
      </c>
      <c r="C226" s="3" t="s">
        <v>199</v>
      </c>
      <c r="D226" s="3"/>
      <c r="E226" s="8">
        <v>-166</v>
      </c>
      <c r="F226" s="8">
        <v>-270</v>
      </c>
      <c r="G226" s="8">
        <v>-225</v>
      </c>
      <c r="H226" s="8">
        <v>-302</v>
      </c>
      <c r="I226" s="8">
        <v>65</v>
      </c>
      <c r="J226" s="8">
        <v>-70</v>
      </c>
      <c r="K226" s="8">
        <v>197</v>
      </c>
      <c r="L226" s="8">
        <v>274</v>
      </c>
      <c r="M226" s="8">
        <v>300</v>
      </c>
      <c r="N226" s="8">
        <v>367</v>
      </c>
      <c r="O226" s="8">
        <v>225</v>
      </c>
      <c r="P226" s="8">
        <v>-86</v>
      </c>
      <c r="Q226" s="8">
        <v>899</v>
      </c>
      <c r="R226" s="8">
        <v>1174</v>
      </c>
      <c r="S226" s="8">
        <v>721</v>
      </c>
      <c r="T226" s="8">
        <v>545</v>
      </c>
      <c r="U226" s="8">
        <v>584</v>
      </c>
      <c r="V226" s="8">
        <v>703.42307692307691</v>
      </c>
      <c r="W226" s="8">
        <v>762.16666666666663</v>
      </c>
      <c r="X226" s="8">
        <v>765</v>
      </c>
      <c r="Y226" s="8">
        <v>799.58333333333337</v>
      </c>
      <c r="Z226" s="8">
        <v>903.58333333333337</v>
      </c>
      <c r="AA226" s="8">
        <v>945.66666666666663</v>
      </c>
      <c r="AB226" s="8">
        <v>948.16666666666663</v>
      </c>
      <c r="AC226" s="8">
        <v>980.16666666666663</v>
      </c>
    </row>
    <row r="227" spans="1:29" x14ac:dyDescent="0.2">
      <c r="A227" s="7" t="s">
        <v>169</v>
      </c>
      <c r="B227" s="3" t="s">
        <v>385</v>
      </c>
      <c r="C227" s="3" t="s">
        <v>386</v>
      </c>
      <c r="D227" s="3"/>
      <c r="E227" s="8">
        <v>30</v>
      </c>
      <c r="F227" s="8">
        <v>32</v>
      </c>
      <c r="G227" s="8">
        <v>31</v>
      </c>
      <c r="H227" s="8">
        <v>30</v>
      </c>
      <c r="I227" s="8">
        <v>26</v>
      </c>
      <c r="J227" s="8">
        <v>23</v>
      </c>
      <c r="K227" s="8">
        <v>22</v>
      </c>
      <c r="L227" s="8">
        <v>21</v>
      </c>
      <c r="M227" s="8">
        <v>21</v>
      </c>
      <c r="N227" s="8">
        <v>21</v>
      </c>
      <c r="O227" s="8">
        <v>20</v>
      </c>
      <c r="P227" s="8">
        <v>20</v>
      </c>
      <c r="Q227" s="8">
        <v>19</v>
      </c>
      <c r="R227" s="8">
        <v>20</v>
      </c>
      <c r="S227" s="8">
        <v>20</v>
      </c>
      <c r="T227" s="8">
        <v>24</v>
      </c>
      <c r="U227" s="8">
        <v>23.632390462081201</v>
      </c>
      <c r="V227" s="8">
        <v>23.6312033729516</v>
      </c>
      <c r="W227" s="8">
        <v>23.0591924062307</v>
      </c>
      <c r="X227" s="8">
        <v>23.397554339621902</v>
      </c>
      <c r="Y227" s="8">
        <v>23.190998253164999</v>
      </c>
      <c r="Z227" s="8">
        <v>22.996619149572801</v>
      </c>
      <c r="AA227" s="8">
        <v>23.2373384010981</v>
      </c>
      <c r="AB227" s="8">
        <v>24.181544557019901</v>
      </c>
      <c r="AC227" s="8">
        <v>24.5287649227899</v>
      </c>
    </row>
    <row r="228" spans="1:29" x14ac:dyDescent="0.2">
      <c r="A228" s="7" t="s">
        <v>387</v>
      </c>
      <c r="B228" s="3" t="s">
        <v>388</v>
      </c>
      <c r="C228" s="3" t="s">
        <v>389</v>
      </c>
      <c r="D228" s="3"/>
      <c r="E228" s="8">
        <v>14</v>
      </c>
      <c r="F228" s="8">
        <v>18</v>
      </c>
      <c r="G228" s="8">
        <v>13</v>
      </c>
      <c r="H228" s="8">
        <v>14</v>
      </c>
      <c r="I228" s="8">
        <v>10</v>
      </c>
      <c r="J228" s="8">
        <v>11</v>
      </c>
      <c r="K228" s="8">
        <v>9</v>
      </c>
      <c r="L228" s="8">
        <v>9</v>
      </c>
      <c r="M228" s="8">
        <v>9</v>
      </c>
      <c r="N228" s="8">
        <v>9</v>
      </c>
      <c r="O228" s="8">
        <v>7</v>
      </c>
      <c r="P228" s="8">
        <v>6</v>
      </c>
      <c r="Q228" s="8">
        <v>5</v>
      </c>
      <c r="R228" s="8">
        <v>5</v>
      </c>
      <c r="S228" s="8">
        <v>6</v>
      </c>
      <c r="T228" s="8">
        <v>5</v>
      </c>
      <c r="U228" s="8">
        <v>6.553339300632536</v>
      </c>
      <c r="V228" s="8">
        <v>6.3537744112436103</v>
      </c>
      <c r="W228" s="8">
        <v>6.261016455500064</v>
      </c>
      <c r="X228" s="8">
        <v>6.2509031276068239</v>
      </c>
      <c r="Y228" s="8">
        <v>6.2201574456058344</v>
      </c>
      <c r="Z228" s="8">
        <v>6.2123145827878581</v>
      </c>
      <c r="AA228" s="8">
        <v>5.7992477021126723</v>
      </c>
      <c r="AB228" s="8">
        <v>5.7956691303197809</v>
      </c>
      <c r="AC228" s="8">
        <v>5.7087729206838729</v>
      </c>
    </row>
    <row r="229" spans="1:29" x14ac:dyDescent="0.2">
      <c r="A229" s="7" t="s">
        <v>242</v>
      </c>
      <c r="B229" s="3" t="s">
        <v>390</v>
      </c>
      <c r="C229" s="3" t="s">
        <v>391</v>
      </c>
      <c r="D229" s="3"/>
      <c r="E229" s="8">
        <v>108</v>
      </c>
      <c r="F229" s="8">
        <v>100</v>
      </c>
      <c r="G229" s="8">
        <v>105</v>
      </c>
      <c r="H229" s="8">
        <v>97</v>
      </c>
      <c r="I229" s="8">
        <v>85</v>
      </c>
      <c r="J229" s="8">
        <v>34</v>
      </c>
      <c r="K229" s="8">
        <v>69</v>
      </c>
      <c r="L229" s="8">
        <v>82</v>
      </c>
      <c r="M229" s="8">
        <v>63</v>
      </c>
      <c r="N229" s="8">
        <v>54</v>
      </c>
      <c r="O229" s="8">
        <v>42</v>
      </c>
      <c r="P229" s="8">
        <v>73</v>
      </c>
      <c r="Q229" s="8">
        <v>75</v>
      </c>
      <c r="R229" s="8">
        <v>57</v>
      </c>
      <c r="S229" s="8">
        <v>56</v>
      </c>
      <c r="T229" s="8">
        <v>86</v>
      </c>
      <c r="U229" s="8">
        <v>86.93038621673314</v>
      </c>
      <c r="V229" s="8">
        <v>85.018602514343527</v>
      </c>
      <c r="W229" s="8">
        <v>71.788025298969515</v>
      </c>
      <c r="X229" s="8">
        <v>81.755202191109319</v>
      </c>
      <c r="Y229" s="8">
        <v>81.543851943441709</v>
      </c>
      <c r="Z229" s="8">
        <v>76.358022367706354</v>
      </c>
      <c r="AA229" s="8">
        <v>73.58781616240762</v>
      </c>
      <c r="AB229" s="8">
        <v>88.906430693048719</v>
      </c>
      <c r="AC229" s="8">
        <v>86.278875462730809</v>
      </c>
    </row>
    <row r="230" spans="1:29" x14ac:dyDescent="0.2">
      <c r="A230" s="7" t="s">
        <v>392</v>
      </c>
      <c r="B230" s="3" t="s">
        <v>393</v>
      </c>
      <c r="C230" s="3" t="s">
        <v>394</v>
      </c>
      <c r="D230" s="3"/>
      <c r="E230" s="8">
        <v>63</v>
      </c>
      <c r="F230" s="8">
        <v>61</v>
      </c>
      <c r="G230" s="8">
        <v>65</v>
      </c>
      <c r="H230" s="8">
        <v>60</v>
      </c>
      <c r="I230" s="8">
        <v>51</v>
      </c>
      <c r="J230" s="8">
        <v>18</v>
      </c>
      <c r="K230" s="8">
        <v>39</v>
      </c>
      <c r="L230" s="8">
        <v>47</v>
      </c>
      <c r="M230" s="8">
        <v>36</v>
      </c>
      <c r="N230" s="8">
        <v>30</v>
      </c>
      <c r="O230" s="8" t="s">
        <v>526</v>
      </c>
      <c r="P230" s="8">
        <v>41</v>
      </c>
      <c r="Q230" s="8">
        <v>43</v>
      </c>
      <c r="R230" s="8">
        <v>31</v>
      </c>
      <c r="S230" s="8">
        <v>25</v>
      </c>
      <c r="T230" s="8" t="s">
        <v>526</v>
      </c>
      <c r="U230" s="8">
        <v>43.950181800578555</v>
      </c>
      <c r="V230" s="8">
        <v>40.307322284711582</v>
      </c>
      <c r="W230" s="8">
        <v>31.930734990105496</v>
      </c>
      <c r="X230" s="8">
        <v>38.711550209205448</v>
      </c>
      <c r="Y230" s="8">
        <v>43.744991660370637</v>
      </c>
      <c r="Z230" s="8">
        <v>39.546011508035853</v>
      </c>
      <c r="AA230" s="8">
        <v>41.578525418801128</v>
      </c>
      <c r="AB230" s="8">
        <v>44.020824449043872</v>
      </c>
      <c r="AC230" s="8">
        <v>49.314838120278473</v>
      </c>
    </row>
    <row r="231" spans="1:29" x14ac:dyDescent="0.2">
      <c r="A231" s="7" t="s">
        <v>395</v>
      </c>
      <c r="B231" s="3" t="s">
        <v>396</v>
      </c>
      <c r="C231" s="3" t="s">
        <v>397</v>
      </c>
      <c r="D231" s="3"/>
      <c r="E231" s="8">
        <v>21</v>
      </c>
      <c r="F231" s="8">
        <v>18</v>
      </c>
      <c r="G231" s="8">
        <v>20</v>
      </c>
      <c r="H231" s="8">
        <v>21</v>
      </c>
      <c r="I231" s="8">
        <v>17</v>
      </c>
      <c r="J231" s="8">
        <v>8</v>
      </c>
      <c r="K231" s="8">
        <v>16</v>
      </c>
      <c r="L231" s="8">
        <v>18</v>
      </c>
      <c r="M231" s="8">
        <v>14</v>
      </c>
      <c r="N231" s="8">
        <v>13</v>
      </c>
      <c r="O231" s="8" t="s">
        <v>526</v>
      </c>
      <c r="P231" s="8">
        <v>19</v>
      </c>
      <c r="Q231" s="8">
        <v>18</v>
      </c>
      <c r="R231" s="8">
        <v>14</v>
      </c>
      <c r="S231" s="8">
        <v>10</v>
      </c>
      <c r="T231" s="8" t="s">
        <v>526</v>
      </c>
      <c r="U231" s="8">
        <v>18.334019215465908</v>
      </c>
      <c r="V231" s="8">
        <v>16.60661951768278</v>
      </c>
      <c r="W231" s="8">
        <v>13.996293996042199</v>
      </c>
      <c r="X231" s="8">
        <v>16.363965340851305</v>
      </c>
      <c r="Y231" s="8">
        <v>18.366376741550496</v>
      </c>
      <c r="Z231" s="8">
        <v>16.990443906854903</v>
      </c>
      <c r="AA231" s="8">
        <v>16.63141016752045</v>
      </c>
      <c r="AB231" s="8">
        <v>19.057782976386182</v>
      </c>
      <c r="AC231" s="8">
        <v>20.249670608488657</v>
      </c>
    </row>
    <row r="232" spans="1:29" x14ac:dyDescent="0.2">
      <c r="A232" s="7" t="s">
        <v>398</v>
      </c>
      <c r="B232" s="3" t="s">
        <v>399</v>
      </c>
      <c r="C232" s="3" t="s">
        <v>400</v>
      </c>
      <c r="D232" s="3"/>
      <c r="E232" s="8">
        <v>22</v>
      </c>
      <c r="F232" s="8">
        <v>19</v>
      </c>
      <c r="G232" s="8">
        <v>18</v>
      </c>
      <c r="H232" s="8">
        <v>15</v>
      </c>
      <c r="I232" s="8">
        <v>15</v>
      </c>
      <c r="J232" s="8">
        <v>8</v>
      </c>
      <c r="K232" s="8">
        <v>13</v>
      </c>
      <c r="L232" s="8">
        <v>15</v>
      </c>
      <c r="M232" s="8">
        <v>12</v>
      </c>
      <c r="N232" s="8">
        <v>10</v>
      </c>
      <c r="O232" s="8" t="s">
        <v>526</v>
      </c>
      <c r="P232" s="8">
        <v>12</v>
      </c>
      <c r="Q232" s="8">
        <v>13</v>
      </c>
      <c r="R232" s="8">
        <v>10</v>
      </c>
      <c r="S232" s="8">
        <v>20</v>
      </c>
      <c r="T232" s="8" t="s">
        <v>526</v>
      </c>
      <c r="U232" s="8">
        <v>18.72721108517705</v>
      </c>
      <c r="V232" s="8">
        <v>16.83849508606496</v>
      </c>
      <c r="W232" s="8">
        <v>22.967587992084397</v>
      </c>
      <c r="X232" s="8">
        <v>23.21245439585698</v>
      </c>
      <c r="Y232" s="8">
        <v>18.343813757786471</v>
      </c>
      <c r="Z232" s="8">
        <v>17.206120647753501</v>
      </c>
      <c r="AA232" s="8">
        <v>33.2628203350409</v>
      </c>
      <c r="AB232" s="8">
        <v>30.868299968929186</v>
      </c>
      <c r="AC232" s="8">
        <v>25.441949606130702</v>
      </c>
    </row>
    <row r="233" spans="1:29" x14ac:dyDescent="0.2">
      <c r="A233" s="7" t="s">
        <v>401</v>
      </c>
      <c r="B233" s="3" t="s">
        <v>402</v>
      </c>
      <c r="C233" s="3" t="s">
        <v>403</v>
      </c>
      <c r="D233" s="3"/>
      <c r="E233" s="8">
        <v>-102</v>
      </c>
      <c r="F233" s="8">
        <v>-26</v>
      </c>
      <c r="G233" s="8">
        <v>-27</v>
      </c>
      <c r="H233" s="8">
        <v>-33</v>
      </c>
      <c r="I233" s="8">
        <v>-55</v>
      </c>
      <c r="J233" s="8">
        <v>-46</v>
      </c>
      <c r="K233" s="8">
        <v>-59</v>
      </c>
      <c r="L233" s="8">
        <v>-76</v>
      </c>
      <c r="M233" s="8">
        <v>-66</v>
      </c>
      <c r="N233" s="8">
        <v>-127</v>
      </c>
      <c r="O233" s="8">
        <v>-71</v>
      </c>
      <c r="P233" s="8">
        <v>-89</v>
      </c>
      <c r="Q233" s="8">
        <v>-262</v>
      </c>
      <c r="R233" s="8">
        <v>-349</v>
      </c>
      <c r="S233" s="8">
        <v>-248</v>
      </c>
      <c r="T233" s="8">
        <v>-86</v>
      </c>
      <c r="U233" s="8">
        <v>-80.148359740969738</v>
      </c>
      <c r="V233" s="8">
        <v>-75.807488026401558</v>
      </c>
      <c r="W233" s="8">
        <v>-86.625140000704803</v>
      </c>
      <c r="X233" s="8">
        <v>-88.721449344477136</v>
      </c>
      <c r="Y233" s="8">
        <v>-92.126686907600899</v>
      </c>
      <c r="Z233" s="8">
        <v>-101.99731069228933</v>
      </c>
      <c r="AA233" s="8">
        <v>-87.5101204008959</v>
      </c>
      <c r="AB233" s="8">
        <v>-91.91664993134475</v>
      </c>
      <c r="AC233" s="8">
        <v>-98.819898226812441</v>
      </c>
    </row>
    <row r="234" spans="1:29" x14ac:dyDescent="0.2">
      <c r="A234" s="7" t="s">
        <v>404</v>
      </c>
      <c r="B234" s="3" t="s">
        <v>405</v>
      </c>
      <c r="C234" s="3" t="s">
        <v>406</v>
      </c>
      <c r="D234" s="3"/>
      <c r="E234" s="8">
        <v>18</v>
      </c>
      <c r="F234" s="8">
        <v>86</v>
      </c>
      <c r="G234" s="8">
        <v>77</v>
      </c>
      <c r="H234" s="8">
        <v>27</v>
      </c>
      <c r="I234" s="8">
        <v>14</v>
      </c>
      <c r="J234" s="8">
        <v>102</v>
      </c>
      <c r="K234" s="8">
        <v>53</v>
      </c>
      <c r="L234" s="8">
        <v>72</v>
      </c>
      <c r="M234" s="8">
        <v>122</v>
      </c>
      <c r="N234" s="8">
        <v>105</v>
      </c>
      <c r="O234" s="8">
        <v>252</v>
      </c>
      <c r="P234" s="8">
        <v>447</v>
      </c>
      <c r="Q234" s="8">
        <v>17</v>
      </c>
      <c r="R234" s="8">
        <v>29</v>
      </c>
      <c r="S234" s="8">
        <v>26</v>
      </c>
      <c r="T234" s="8">
        <v>21</v>
      </c>
      <c r="U234" s="8">
        <v>31.662764705882353</v>
      </c>
      <c r="V234" s="8">
        <v>33.780411764705882</v>
      </c>
      <c r="W234" s="8">
        <v>27.526700000000002</v>
      </c>
      <c r="X234" s="8">
        <v>27.526700000000002</v>
      </c>
      <c r="Y234" s="8">
        <v>27.526700000000002</v>
      </c>
      <c r="Z234" s="8">
        <v>27.526700000000002</v>
      </c>
      <c r="AA234" s="8">
        <v>7.9223333333333334</v>
      </c>
      <c r="AB234" s="8">
        <v>7.9223333333333334</v>
      </c>
      <c r="AC234" s="8">
        <v>7.9223333333333334</v>
      </c>
    </row>
    <row r="235" spans="1:29" x14ac:dyDescent="0.2">
      <c r="A235" s="7" t="s">
        <v>407</v>
      </c>
      <c r="B235" s="3" t="s">
        <v>408</v>
      </c>
      <c r="C235" s="3" t="s">
        <v>409</v>
      </c>
      <c r="D235" s="3"/>
      <c r="E235" s="8">
        <v>14</v>
      </c>
      <c r="F235" s="8" t="s">
        <v>526</v>
      </c>
      <c r="G235" s="8">
        <v>10</v>
      </c>
      <c r="H235" s="8">
        <v>10</v>
      </c>
      <c r="I235" s="8">
        <v>9</v>
      </c>
      <c r="J235" s="8" t="s">
        <v>526</v>
      </c>
      <c r="K235" s="8" t="s">
        <v>526</v>
      </c>
      <c r="L235" s="8">
        <v>9</v>
      </c>
      <c r="M235" s="8" t="s">
        <v>526</v>
      </c>
      <c r="N235" s="8" t="s">
        <v>526</v>
      </c>
      <c r="O235" s="8" t="s">
        <v>526</v>
      </c>
      <c r="P235" s="8" t="s">
        <v>526</v>
      </c>
      <c r="Q235" s="8">
        <v>11</v>
      </c>
      <c r="R235" s="8" t="s">
        <v>526</v>
      </c>
      <c r="S235" s="8" t="s">
        <v>526</v>
      </c>
      <c r="T235" s="8" t="s">
        <v>526</v>
      </c>
      <c r="U235" s="8">
        <v>8.1039999999999992</v>
      </c>
      <c r="V235" s="8">
        <v>8.1039999999999992</v>
      </c>
      <c r="W235" s="8">
        <v>7.7664</v>
      </c>
      <c r="X235" s="8">
        <v>7.7664</v>
      </c>
      <c r="Y235" s="8">
        <v>7.7664</v>
      </c>
      <c r="Z235" s="8">
        <v>7.7664</v>
      </c>
      <c r="AA235" s="8">
        <v>7.1106666666666669</v>
      </c>
      <c r="AB235" s="8">
        <v>7.1106666666666669</v>
      </c>
      <c r="AC235" s="8">
        <v>7.1106666666666669</v>
      </c>
    </row>
    <row r="236" spans="1:29" x14ac:dyDescent="0.2">
      <c r="A236" s="7" t="s">
        <v>410</v>
      </c>
      <c r="B236" s="3" t="s">
        <v>411</v>
      </c>
      <c r="C236" s="3" t="s">
        <v>412</v>
      </c>
      <c r="D236" s="3"/>
      <c r="E236" s="8">
        <v>-8</v>
      </c>
      <c r="F236" s="8">
        <v>3</v>
      </c>
      <c r="G236" s="8">
        <v>-5</v>
      </c>
      <c r="H236" s="8">
        <v>2</v>
      </c>
      <c r="I236" s="8">
        <v>-1</v>
      </c>
      <c r="J236" s="8">
        <v>5</v>
      </c>
      <c r="K236" s="8">
        <v>0</v>
      </c>
      <c r="L236" s="8">
        <v>-1</v>
      </c>
      <c r="M236" s="8">
        <v>0</v>
      </c>
      <c r="N236" s="8">
        <v>3</v>
      </c>
      <c r="O236" s="8">
        <v>0</v>
      </c>
      <c r="P236" s="8">
        <v>8</v>
      </c>
      <c r="Q236" s="8">
        <v>1</v>
      </c>
      <c r="R236" s="8">
        <v>1</v>
      </c>
      <c r="S236" s="8">
        <v>-2</v>
      </c>
      <c r="T236" s="8">
        <v>1</v>
      </c>
      <c r="U236" s="8">
        <v>-36.982577643039903</v>
      </c>
      <c r="V236" s="8">
        <v>-5.6068668928362371</v>
      </c>
      <c r="W236" s="8">
        <v>-1.2317766214986534</v>
      </c>
      <c r="X236" s="8">
        <v>-7.0192833304994622</v>
      </c>
      <c r="Y236" s="8">
        <v>-12.546608209927001</v>
      </c>
      <c r="Z236" s="8">
        <v>-14.759223208630855</v>
      </c>
      <c r="AA236" s="8" t="s">
        <v>526</v>
      </c>
      <c r="AB236" s="8" t="s">
        <v>526</v>
      </c>
      <c r="AC236" s="8" t="s">
        <v>526</v>
      </c>
    </row>
    <row r="237" spans="1:29" x14ac:dyDescent="0.2">
      <c r="A237" s="7" t="s">
        <v>413</v>
      </c>
      <c r="B237" s="3" t="s">
        <v>414</v>
      </c>
      <c r="C237" s="3" t="s">
        <v>415</v>
      </c>
      <c r="D237" s="3"/>
      <c r="E237" s="8">
        <v>131</v>
      </c>
      <c r="F237" s="8">
        <v>21</v>
      </c>
      <c r="G237" s="8">
        <v>67</v>
      </c>
      <c r="H237" s="8">
        <v>-2</v>
      </c>
      <c r="I237" s="8">
        <v>49</v>
      </c>
      <c r="J237" s="8">
        <v>355</v>
      </c>
      <c r="K237" s="8">
        <v>-84</v>
      </c>
      <c r="L237" s="8">
        <v>89</v>
      </c>
      <c r="M237" s="8">
        <v>115</v>
      </c>
      <c r="N237" s="8">
        <v>253</v>
      </c>
      <c r="O237" s="8">
        <v>-91</v>
      </c>
      <c r="P237" s="8">
        <v>194</v>
      </c>
      <c r="Q237" s="8">
        <v>99</v>
      </c>
      <c r="R237" s="8">
        <v>24</v>
      </c>
      <c r="S237" s="8">
        <v>32</v>
      </c>
      <c r="T237" s="8">
        <v>95</v>
      </c>
      <c r="U237" s="8" t="s">
        <v>526</v>
      </c>
      <c r="V237" s="8" t="s">
        <v>526</v>
      </c>
      <c r="W237" s="8" t="s">
        <v>526</v>
      </c>
      <c r="X237" s="8" t="s">
        <v>526</v>
      </c>
      <c r="Y237" s="8" t="s">
        <v>526</v>
      </c>
      <c r="Z237" s="8" t="s">
        <v>526</v>
      </c>
      <c r="AA237" s="8" t="s">
        <v>526</v>
      </c>
      <c r="AB237" s="8" t="s">
        <v>526</v>
      </c>
      <c r="AC237" s="8" t="s">
        <v>526</v>
      </c>
    </row>
    <row r="238" spans="1:29" x14ac:dyDescent="0.2">
      <c r="A238" s="7" t="s">
        <v>416</v>
      </c>
      <c r="B238" s="3" t="s">
        <v>417</v>
      </c>
      <c r="C238" s="3" t="s">
        <v>418</v>
      </c>
      <c r="D238" s="3"/>
      <c r="E238" s="8">
        <v>-6</v>
      </c>
      <c r="F238" s="8">
        <v>-69</v>
      </c>
      <c r="G238" s="8">
        <v>118</v>
      </c>
      <c r="H238" s="8">
        <v>-97</v>
      </c>
      <c r="I238" s="8">
        <v>-69</v>
      </c>
      <c r="J238" s="8">
        <v>-97</v>
      </c>
      <c r="K238" s="8">
        <v>80</v>
      </c>
      <c r="L238" s="8">
        <v>40</v>
      </c>
      <c r="M238" s="8">
        <v>-4</v>
      </c>
      <c r="N238" s="8">
        <v>29</v>
      </c>
      <c r="O238" s="8">
        <v>-4</v>
      </c>
      <c r="P238" s="8">
        <v>-19</v>
      </c>
      <c r="Q238" s="8">
        <v>-26</v>
      </c>
      <c r="R238" s="8">
        <v>-66</v>
      </c>
      <c r="S238" s="8">
        <v>91</v>
      </c>
      <c r="T238" s="8">
        <v>-80</v>
      </c>
      <c r="U238" s="8">
        <v>-57.119082701829775</v>
      </c>
      <c r="V238" s="8">
        <v>-27.808397233182035</v>
      </c>
      <c r="W238" s="8">
        <v>-0.23332490439404546</v>
      </c>
      <c r="X238" s="8">
        <v>-11.577861600474019</v>
      </c>
      <c r="Y238" s="8">
        <v>-66.878115675512973</v>
      </c>
      <c r="Z238" s="8">
        <v>-58.366548768019044</v>
      </c>
      <c r="AA238" s="8">
        <v>-75.247578152529357</v>
      </c>
      <c r="AB238" s="8">
        <v>-43.712078736151717</v>
      </c>
      <c r="AC238" s="8">
        <v>-40.457485955086568</v>
      </c>
    </row>
    <row r="239" spans="1:29" x14ac:dyDescent="0.2">
      <c r="A239" s="7" t="s">
        <v>419</v>
      </c>
      <c r="B239" s="3" t="s">
        <v>420</v>
      </c>
      <c r="C239" s="3" t="s">
        <v>421</v>
      </c>
      <c r="D239" s="3"/>
      <c r="E239" s="8">
        <v>117</v>
      </c>
      <c r="F239" s="8">
        <v>74</v>
      </c>
      <c r="G239" s="8">
        <v>-57</v>
      </c>
      <c r="H239" s="8">
        <v>77</v>
      </c>
      <c r="I239" s="8">
        <v>62</v>
      </c>
      <c r="J239" s="8">
        <v>419</v>
      </c>
      <c r="K239" s="8">
        <v>-171</v>
      </c>
      <c r="L239" s="8">
        <v>28</v>
      </c>
      <c r="M239" s="8">
        <v>86</v>
      </c>
      <c r="N239" s="8">
        <v>240</v>
      </c>
      <c r="O239" s="8">
        <v>-90</v>
      </c>
      <c r="P239" s="8">
        <v>201</v>
      </c>
      <c r="Q239" s="8">
        <v>100</v>
      </c>
      <c r="R239" s="8">
        <v>70</v>
      </c>
      <c r="S239" s="8">
        <v>-94</v>
      </c>
      <c r="T239" s="8">
        <v>150</v>
      </c>
      <c r="U239" s="8">
        <v>183.82063525085519</v>
      </c>
      <c r="V239" s="8">
        <v>75.187765080950712</v>
      </c>
      <c r="W239" s="8">
        <v>10.025441482754919</v>
      </c>
      <c r="X239" s="8">
        <v>94.914358508099639</v>
      </c>
      <c r="Y239" s="8">
        <v>158.22091607037595</v>
      </c>
      <c r="Z239" s="8">
        <v>147.59192139192172</v>
      </c>
      <c r="AA239" s="8">
        <v>1.6910514622437756</v>
      </c>
      <c r="AB239" s="8">
        <v>89.244359016188469</v>
      </c>
      <c r="AC239" s="8">
        <v>169.50660619232269</v>
      </c>
    </row>
    <row r="240" spans="1:29" x14ac:dyDescent="0.2">
      <c r="A240" s="7" t="s">
        <v>314</v>
      </c>
      <c r="B240" s="3" t="s">
        <v>422</v>
      </c>
      <c r="C240" s="3" t="s">
        <v>423</v>
      </c>
      <c r="D240" s="3"/>
      <c r="E240" s="8">
        <v>20</v>
      </c>
      <c r="F240" s="8">
        <v>16</v>
      </c>
      <c r="G240" s="8">
        <v>6</v>
      </c>
      <c r="H240" s="8">
        <v>18</v>
      </c>
      <c r="I240" s="8">
        <v>56</v>
      </c>
      <c r="J240" s="8">
        <v>33</v>
      </c>
      <c r="K240" s="8">
        <v>7</v>
      </c>
      <c r="L240" s="8">
        <v>21</v>
      </c>
      <c r="M240" s="8">
        <v>33</v>
      </c>
      <c r="N240" s="8">
        <v>-16</v>
      </c>
      <c r="O240" s="8">
        <v>3</v>
      </c>
      <c r="P240" s="8">
        <v>12</v>
      </c>
      <c r="Q240" s="8">
        <v>25</v>
      </c>
      <c r="R240" s="8">
        <v>20</v>
      </c>
      <c r="S240" s="8">
        <v>35</v>
      </c>
      <c r="T240" s="8">
        <v>25</v>
      </c>
      <c r="U240" s="8">
        <v>34.595468493744178</v>
      </c>
      <c r="V240" s="8">
        <v>23.366106595452255</v>
      </c>
      <c r="W240" s="8">
        <v>34.494259952958195</v>
      </c>
      <c r="X240" s="8">
        <v>19.135882175238272</v>
      </c>
      <c r="Y240" s="8">
        <v>19.405648703652439</v>
      </c>
      <c r="Z240" s="8">
        <v>23.432650406814549</v>
      </c>
      <c r="AA240" s="8">
        <v>44.210244264523837</v>
      </c>
      <c r="AB240" s="8">
        <v>2.2020131866425645</v>
      </c>
      <c r="AC240" s="8">
        <v>12.83346686854952</v>
      </c>
    </row>
    <row r="241" spans="1:29" x14ac:dyDescent="0.2">
      <c r="A241" s="7" t="s">
        <v>424</v>
      </c>
      <c r="B241" s="3" t="s">
        <v>425</v>
      </c>
      <c r="C241" s="3" t="s">
        <v>426</v>
      </c>
      <c r="D241" s="3"/>
      <c r="E241" s="8">
        <v>-12</v>
      </c>
      <c r="F241" s="8">
        <v>-2</v>
      </c>
      <c r="G241" s="8">
        <v>1</v>
      </c>
      <c r="H241" s="8">
        <v>-2</v>
      </c>
      <c r="I241" s="8">
        <v>-2</v>
      </c>
      <c r="J241" s="8">
        <v>-2</v>
      </c>
      <c r="K241" s="8">
        <v>0</v>
      </c>
      <c r="L241" s="8">
        <v>4</v>
      </c>
      <c r="M241" s="8">
        <v>0</v>
      </c>
      <c r="N241" s="8">
        <v>-1</v>
      </c>
      <c r="O241" s="8">
        <v>12</v>
      </c>
      <c r="P241" s="8">
        <v>8</v>
      </c>
      <c r="Q241" s="8">
        <v>2</v>
      </c>
      <c r="R241" s="8">
        <v>0</v>
      </c>
      <c r="S241" s="8">
        <v>-3</v>
      </c>
      <c r="T241" s="8">
        <v>-6</v>
      </c>
      <c r="U241" s="8">
        <v>-5.3424592013110574</v>
      </c>
      <c r="V241" s="8">
        <v>-1.3103962328290395</v>
      </c>
      <c r="W241" s="8">
        <v>-2.3326702168959592</v>
      </c>
      <c r="X241" s="8">
        <v>3.0131887394546304</v>
      </c>
      <c r="Y241" s="8">
        <v>1.7338982807788668</v>
      </c>
      <c r="Z241" s="8">
        <v>1.6490904161997904</v>
      </c>
      <c r="AA241" s="8" t="s">
        <v>526</v>
      </c>
      <c r="AB241" s="8" t="s">
        <v>526</v>
      </c>
      <c r="AC241" s="8" t="s">
        <v>526</v>
      </c>
    </row>
    <row r="242" spans="1:29" x14ac:dyDescent="0.2">
      <c r="A242" s="7" t="s">
        <v>427</v>
      </c>
      <c r="B242" s="3" t="s">
        <v>428</v>
      </c>
      <c r="C242" s="3" t="s">
        <v>429</v>
      </c>
      <c r="D242" s="3"/>
      <c r="E242" s="8">
        <v>12</v>
      </c>
      <c r="F242" s="8">
        <v>20</v>
      </c>
      <c r="G242" s="8">
        <v>23</v>
      </c>
      <c r="H242" s="8">
        <v>26</v>
      </c>
      <c r="I242" s="8">
        <v>28</v>
      </c>
      <c r="J242" s="8">
        <v>34</v>
      </c>
      <c r="K242" s="8">
        <v>37</v>
      </c>
      <c r="L242" s="8">
        <v>41</v>
      </c>
      <c r="M242" s="8">
        <v>77</v>
      </c>
      <c r="N242" s="8">
        <v>61</v>
      </c>
      <c r="O242" s="8">
        <v>70</v>
      </c>
      <c r="P242" s="8">
        <v>57</v>
      </c>
      <c r="Q242" s="8">
        <v>57</v>
      </c>
      <c r="R242" s="8">
        <v>58</v>
      </c>
      <c r="S242" s="8">
        <v>52</v>
      </c>
      <c r="T242" s="8">
        <v>48</v>
      </c>
      <c r="U242" s="8">
        <v>66.668246711714474</v>
      </c>
      <c r="V242" s="8">
        <v>69.09538167088246</v>
      </c>
      <c r="W242" s="8">
        <v>71.82168790207713</v>
      </c>
      <c r="X242" s="8">
        <v>73.379040406823634</v>
      </c>
      <c r="Y242" s="8">
        <v>76.811700340593475</v>
      </c>
      <c r="Z242" s="8">
        <v>79.068265319186892</v>
      </c>
      <c r="AA242" s="8">
        <v>78.339479956597657</v>
      </c>
      <c r="AB242" s="8">
        <v>79.79017788916552</v>
      </c>
      <c r="AC242" s="8">
        <v>84.144701216516623</v>
      </c>
    </row>
    <row r="243" spans="1:29" x14ac:dyDescent="0.2">
      <c r="A243" s="7" t="s">
        <v>430</v>
      </c>
      <c r="B243" s="3" t="s">
        <v>431</v>
      </c>
      <c r="C243" s="3" t="s">
        <v>432</v>
      </c>
      <c r="D243" s="3"/>
      <c r="E243" s="8">
        <v>40</v>
      </c>
      <c r="F243" s="8">
        <v>-70</v>
      </c>
      <c r="G243" s="8">
        <v>59</v>
      </c>
      <c r="H243" s="8">
        <v>13</v>
      </c>
      <c r="I243" s="8">
        <v>211</v>
      </c>
      <c r="J243" s="8">
        <v>397</v>
      </c>
      <c r="K243" s="8">
        <v>211</v>
      </c>
      <c r="L243" s="8">
        <v>492</v>
      </c>
      <c r="M243" s="8">
        <v>715</v>
      </c>
      <c r="N243" s="8">
        <v>883</v>
      </c>
      <c r="O243" s="8">
        <v>539</v>
      </c>
      <c r="P243" s="8">
        <v>709</v>
      </c>
      <c r="Q243" s="8">
        <v>829</v>
      </c>
      <c r="R243" s="8">
        <v>856</v>
      </c>
      <c r="S243" s="8">
        <v>836</v>
      </c>
      <c r="T243" s="8">
        <v>816</v>
      </c>
      <c r="U243" s="8">
        <v>880.0629834184773</v>
      </c>
      <c r="V243" s="8">
        <v>915.84270397773457</v>
      </c>
      <c r="W243" s="8">
        <v>919.91587843609534</v>
      </c>
      <c r="X243" s="8">
        <v>942.97658769643044</v>
      </c>
      <c r="Y243" s="8">
        <v>1042.3624213298515</v>
      </c>
      <c r="Z243" s="8">
        <v>1121.7723058342799</v>
      </c>
      <c r="AA243" s="8">
        <v>1069.2708785226987</v>
      </c>
      <c r="AB243" s="8">
        <v>1142.9709983371577</v>
      </c>
      <c r="AC243" s="8">
        <v>1265.2158271538985</v>
      </c>
    </row>
    <row r="244" spans="1:29" x14ac:dyDescent="0.2">
      <c r="A244" s="7" t="s">
        <v>14</v>
      </c>
      <c r="B244" s="3"/>
      <c r="C244" s="3"/>
      <c r="D244" s="3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">
      <c r="A245" s="7" t="s">
        <v>433</v>
      </c>
      <c r="B245" s="3"/>
      <c r="C245" s="3"/>
      <c r="D245" s="3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">
      <c r="A246" s="7" t="s">
        <v>434</v>
      </c>
      <c r="B246" s="3" t="s">
        <v>49</v>
      </c>
      <c r="C246" s="3" t="s">
        <v>50</v>
      </c>
      <c r="D246" s="3"/>
      <c r="E246" s="8">
        <v>-5</v>
      </c>
      <c r="F246" s="8">
        <v>-5</v>
      </c>
      <c r="G246" s="8">
        <v>-2</v>
      </c>
      <c r="H246" s="8">
        <v>-2</v>
      </c>
      <c r="I246" s="8">
        <v>-1</v>
      </c>
      <c r="J246" s="8">
        <v>-1</v>
      </c>
      <c r="K246" s="8">
        <v>-5</v>
      </c>
      <c r="L246" s="8">
        <v>-2</v>
      </c>
      <c r="M246" s="8">
        <v>-4</v>
      </c>
      <c r="N246" s="8">
        <v>-6</v>
      </c>
      <c r="O246" s="8">
        <v>-6</v>
      </c>
      <c r="P246" s="8">
        <v>-10</v>
      </c>
      <c r="Q246" s="8">
        <v>-23</v>
      </c>
      <c r="R246" s="8">
        <v>-22</v>
      </c>
      <c r="S246" s="8">
        <v>-5</v>
      </c>
      <c r="T246" s="8">
        <v>-20</v>
      </c>
      <c r="U246" s="8">
        <v>-16.024782608695652</v>
      </c>
      <c r="V246" s="8">
        <v>-15.985217391304348</v>
      </c>
      <c r="W246" s="8">
        <v>-11.472</v>
      </c>
      <c r="X246" s="8">
        <v>-14.623333333333333</v>
      </c>
      <c r="Y246" s="8">
        <v>-17.498666666666669</v>
      </c>
      <c r="Z246" s="8">
        <v>-17.433333333333334</v>
      </c>
      <c r="AA246" s="8">
        <v>-12.891428571428571</v>
      </c>
      <c r="AB246" s="8">
        <v>-17.66</v>
      </c>
      <c r="AC246" s="8">
        <v>-22.05142857142857</v>
      </c>
    </row>
    <row r="247" spans="1:29" x14ac:dyDescent="0.2">
      <c r="A247" s="7" t="s">
        <v>145</v>
      </c>
      <c r="B247" s="3" t="s">
        <v>435</v>
      </c>
      <c r="C247" s="3" t="s">
        <v>436</v>
      </c>
      <c r="D247" s="3"/>
      <c r="E247" s="8">
        <v>0.16469038208168643</v>
      </c>
      <c r="F247" s="8">
        <v>0.15792798483891346</v>
      </c>
      <c r="G247" s="8">
        <v>6.5746219592373437E-2</v>
      </c>
      <c r="H247" s="8">
        <v>6.295247088448222E-2</v>
      </c>
      <c r="I247" s="8">
        <v>2.978850163836759E-2</v>
      </c>
      <c r="J247" s="8">
        <v>2.7240533914464723E-2</v>
      </c>
      <c r="K247" s="8">
        <v>0.13751375137513752</v>
      </c>
      <c r="L247" s="8">
        <v>5.2534804307853955E-2</v>
      </c>
      <c r="M247" s="8">
        <v>0.10030090270812438</v>
      </c>
      <c r="N247" s="8">
        <v>0.14144271570014144</v>
      </c>
      <c r="O247" s="8">
        <v>0.14319809069212411</v>
      </c>
      <c r="P247" s="8">
        <v>0.23849272597185783</v>
      </c>
      <c r="Q247" s="8">
        <v>0.53838951310861427</v>
      </c>
      <c r="R247" s="8">
        <v>0.48554403001544916</v>
      </c>
      <c r="S247" s="8">
        <v>0.11030222810500773</v>
      </c>
      <c r="T247" s="8">
        <v>0.41867280720117228</v>
      </c>
      <c r="U247" s="8">
        <v>0.31441953530176253</v>
      </c>
      <c r="V247" s="8">
        <v>0.30131533944399203</v>
      </c>
      <c r="W247" s="8">
        <v>0.25344054354331114</v>
      </c>
      <c r="X247" s="8">
        <v>0.26317380371894661</v>
      </c>
      <c r="Y247" s="8">
        <v>0.30474616818597522</v>
      </c>
      <c r="Z247" s="8">
        <v>0.2953618227465763</v>
      </c>
      <c r="AA247" s="8">
        <v>0.25721851164461151</v>
      </c>
      <c r="AB247" s="8">
        <v>0.28104217046454494</v>
      </c>
      <c r="AC247" s="8">
        <v>0.35601636724873403</v>
      </c>
    </row>
    <row r="248" spans="1:29" x14ac:dyDescent="0.2">
      <c r="A248" s="7" t="s">
        <v>437</v>
      </c>
      <c r="B248" s="3" t="s">
        <v>438</v>
      </c>
      <c r="C248" s="3" t="s">
        <v>439</v>
      </c>
      <c r="D248" s="3"/>
      <c r="E248" s="8">
        <v>0</v>
      </c>
      <c r="F248" s="8">
        <v>-97</v>
      </c>
      <c r="G248" s="8">
        <v>-126</v>
      </c>
      <c r="H248" s="8">
        <v>127</v>
      </c>
      <c r="I248" s="8">
        <v>-205</v>
      </c>
      <c r="J248" s="8">
        <v>-7</v>
      </c>
      <c r="K248" s="8">
        <v>-98</v>
      </c>
      <c r="L248" s="8">
        <v>-106</v>
      </c>
      <c r="M248" s="8">
        <v>-75</v>
      </c>
      <c r="N248" s="8">
        <v>-1192</v>
      </c>
      <c r="O248" s="8">
        <v>-299</v>
      </c>
      <c r="P248" s="8">
        <v>-415</v>
      </c>
      <c r="Q248" s="8">
        <v>-414</v>
      </c>
      <c r="R248" s="8">
        <v>-598</v>
      </c>
      <c r="S248" s="8">
        <v>744</v>
      </c>
      <c r="T248" s="8">
        <v>50</v>
      </c>
      <c r="U248" s="8" t="s">
        <v>526</v>
      </c>
      <c r="V248" s="8" t="s">
        <v>526</v>
      </c>
      <c r="W248" s="8" t="s">
        <v>526</v>
      </c>
      <c r="X248" s="8" t="s">
        <v>526</v>
      </c>
      <c r="Y248" s="8" t="s">
        <v>526</v>
      </c>
      <c r="Z248" s="8" t="s">
        <v>526</v>
      </c>
      <c r="AA248" s="8" t="s">
        <v>526</v>
      </c>
      <c r="AB248" s="8" t="s">
        <v>526</v>
      </c>
      <c r="AC248" s="8" t="s">
        <v>526</v>
      </c>
    </row>
    <row r="249" spans="1:29" x14ac:dyDescent="0.2">
      <c r="A249" s="7" t="s">
        <v>440</v>
      </c>
      <c r="B249" s="3" t="s">
        <v>441</v>
      </c>
      <c r="C249" s="3" t="s">
        <v>442</v>
      </c>
      <c r="D249" s="3"/>
      <c r="E249" s="8">
        <v>-78</v>
      </c>
      <c r="F249" s="8">
        <v>-168</v>
      </c>
      <c r="G249" s="8">
        <v>-237</v>
      </c>
      <c r="H249" s="8">
        <v>-138</v>
      </c>
      <c r="I249" s="8">
        <v>-406</v>
      </c>
      <c r="J249" s="8">
        <v>-809</v>
      </c>
      <c r="K249" s="8">
        <v>-998</v>
      </c>
      <c r="L249" s="8">
        <v>-1285</v>
      </c>
      <c r="M249" s="8">
        <v>-1439</v>
      </c>
      <c r="N249" s="8">
        <v>-3553</v>
      </c>
      <c r="O249" s="8">
        <v>-3929</v>
      </c>
      <c r="P249" s="8">
        <v>-4643</v>
      </c>
      <c r="Q249" s="8">
        <v>-4783</v>
      </c>
      <c r="R249" s="8">
        <v>-5916</v>
      </c>
      <c r="S249" s="8">
        <v>-6740</v>
      </c>
      <c r="T249" s="8">
        <v>-7301</v>
      </c>
      <c r="U249" s="8">
        <v>-14041</v>
      </c>
      <c r="V249" s="8">
        <v>-14041</v>
      </c>
      <c r="W249" s="8" t="s">
        <v>526</v>
      </c>
      <c r="X249" s="8" t="s">
        <v>526</v>
      </c>
      <c r="Y249" s="8" t="s">
        <v>526</v>
      </c>
      <c r="Z249" s="8" t="s">
        <v>526</v>
      </c>
      <c r="AA249" s="8" t="s">
        <v>526</v>
      </c>
      <c r="AB249" s="8" t="s">
        <v>526</v>
      </c>
      <c r="AC249" s="8" t="s">
        <v>526</v>
      </c>
    </row>
    <row r="250" spans="1:29" x14ac:dyDescent="0.2">
      <c r="A250" s="7" t="s">
        <v>443</v>
      </c>
      <c r="B250" s="3" t="s">
        <v>444</v>
      </c>
      <c r="C250" s="3" t="s">
        <v>445</v>
      </c>
      <c r="D250" s="3"/>
      <c r="E250" s="8">
        <v>78</v>
      </c>
      <c r="F250" s="8">
        <v>71</v>
      </c>
      <c r="G250" s="8">
        <v>111</v>
      </c>
      <c r="H250" s="8">
        <v>265</v>
      </c>
      <c r="I250" s="8">
        <v>201</v>
      </c>
      <c r="J250" s="8">
        <v>802</v>
      </c>
      <c r="K250" s="8">
        <v>900</v>
      </c>
      <c r="L250" s="8">
        <v>1179</v>
      </c>
      <c r="M250" s="8">
        <v>1364</v>
      </c>
      <c r="N250" s="8">
        <v>2361</v>
      </c>
      <c r="O250" s="8">
        <v>3630</v>
      </c>
      <c r="P250" s="8">
        <v>4228</v>
      </c>
      <c r="Q250" s="8">
        <v>4369</v>
      </c>
      <c r="R250" s="8">
        <v>5318</v>
      </c>
      <c r="S250" s="8">
        <v>7484</v>
      </c>
      <c r="T250" s="8">
        <v>7351</v>
      </c>
      <c r="U250" s="8">
        <v>9142.5</v>
      </c>
      <c r="V250" s="8">
        <v>14835</v>
      </c>
      <c r="W250" s="8">
        <v>825.41693785465895</v>
      </c>
      <c r="X250" s="8">
        <v>86.476425011078391</v>
      </c>
      <c r="Y250" s="8" t="s">
        <v>526</v>
      </c>
      <c r="Z250" s="8" t="s">
        <v>526</v>
      </c>
      <c r="AA250" s="8">
        <v>958.30412976055959</v>
      </c>
      <c r="AB250" s="8">
        <v>71.380066757674285</v>
      </c>
      <c r="AC250" s="8" t="s">
        <v>526</v>
      </c>
    </row>
    <row r="251" spans="1:29" x14ac:dyDescent="0.2">
      <c r="A251" s="7" t="s">
        <v>410</v>
      </c>
      <c r="B251" s="3" t="s">
        <v>446</v>
      </c>
      <c r="C251" s="3" t="s">
        <v>447</v>
      </c>
      <c r="D251" s="3"/>
      <c r="E251" s="8">
        <v>3</v>
      </c>
      <c r="F251" s="8">
        <v>1</v>
      </c>
      <c r="G251" s="8">
        <v>6</v>
      </c>
      <c r="H251" s="8">
        <v>-12</v>
      </c>
      <c r="I251" s="8">
        <v>3</v>
      </c>
      <c r="J251" s="8">
        <v>3</v>
      </c>
      <c r="K251" s="8">
        <v>-11</v>
      </c>
      <c r="L251" s="8">
        <v>-2</v>
      </c>
      <c r="M251" s="8">
        <v>-3</v>
      </c>
      <c r="N251" s="8">
        <v>-1</v>
      </c>
      <c r="O251" s="8">
        <v>-9</v>
      </c>
      <c r="P251" s="8">
        <v>-1</v>
      </c>
      <c r="Q251" s="8">
        <v>-2</v>
      </c>
      <c r="R251" s="8">
        <v>0</v>
      </c>
      <c r="S251" s="8">
        <v>-7</v>
      </c>
      <c r="T251" s="8">
        <v>3</v>
      </c>
      <c r="U251" s="8">
        <v>-2.8345168633864239</v>
      </c>
      <c r="V251" s="8">
        <v>-3.0432198551608822</v>
      </c>
      <c r="W251" s="8">
        <v>-15.578787286952554</v>
      </c>
      <c r="X251" s="8">
        <v>-15.818419594181806</v>
      </c>
      <c r="Y251" s="8">
        <v>-16.101251796889667</v>
      </c>
      <c r="Z251" s="8">
        <v>-16.439632159604631</v>
      </c>
      <c r="AA251" s="8">
        <v>-22.93317794447993</v>
      </c>
      <c r="AB251" s="8">
        <v>-23.462819876735225</v>
      </c>
      <c r="AC251" s="8">
        <v>-24.081524220103326</v>
      </c>
    </row>
    <row r="252" spans="1:29" x14ac:dyDescent="0.2">
      <c r="A252" s="7" t="s">
        <v>448</v>
      </c>
      <c r="B252" s="3" t="s">
        <v>449</v>
      </c>
      <c r="C252" s="3" t="s">
        <v>450</v>
      </c>
      <c r="D252" s="3"/>
      <c r="E252" s="8">
        <v>-109</v>
      </c>
      <c r="F252" s="8">
        <v>-101</v>
      </c>
      <c r="G252" s="8">
        <v>-122</v>
      </c>
      <c r="H252" s="8">
        <v>113</v>
      </c>
      <c r="I252" s="8">
        <v>-203</v>
      </c>
      <c r="J252" s="8">
        <v>-5</v>
      </c>
      <c r="K252" s="8">
        <v>-114</v>
      </c>
      <c r="L252" s="8">
        <v>-92</v>
      </c>
      <c r="M252" s="8">
        <v>-82</v>
      </c>
      <c r="N252" s="8">
        <v>-1198</v>
      </c>
      <c r="O252" s="8">
        <v>-314</v>
      </c>
      <c r="P252" s="8">
        <v>-404</v>
      </c>
      <c r="Q252" s="8">
        <v>-438</v>
      </c>
      <c r="R252" s="8">
        <v>-629</v>
      </c>
      <c r="S252" s="8">
        <v>732</v>
      </c>
      <c r="T252" s="8">
        <v>62</v>
      </c>
      <c r="U252" s="8">
        <v>117.73912196856574</v>
      </c>
      <c r="V252" s="8">
        <v>-172.17321415212228</v>
      </c>
      <c r="W252" s="8">
        <v>49.917656526012443</v>
      </c>
      <c r="X252" s="8">
        <v>-6.2585578697772073</v>
      </c>
      <c r="Y252" s="8">
        <v>-79.366112626914742</v>
      </c>
      <c r="Z252" s="8">
        <v>-186.78730633672853</v>
      </c>
      <c r="AA252" s="8">
        <v>128.30364290756535</v>
      </c>
      <c r="AB252" s="8">
        <v>-3.2409706926095549</v>
      </c>
      <c r="AC252" s="8">
        <v>-163.16414576227945</v>
      </c>
    </row>
    <row r="253" spans="1:29" x14ac:dyDescent="0.2">
      <c r="A253" s="7" t="s">
        <v>14</v>
      </c>
      <c r="B253" s="3"/>
      <c r="C253" s="3"/>
      <c r="D253" s="3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">
      <c r="A254" s="7" t="s">
        <v>451</v>
      </c>
      <c r="B254" s="3"/>
      <c r="C254" s="3"/>
      <c r="D254" s="3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">
      <c r="A255" s="7" t="s">
        <v>452</v>
      </c>
      <c r="B255" s="3" t="s">
        <v>453</v>
      </c>
      <c r="C255" s="3" t="s">
        <v>454</v>
      </c>
      <c r="D255" s="3"/>
      <c r="E255" s="8">
        <v>-11</v>
      </c>
      <c r="F255" s="8">
        <v>-12</v>
      </c>
      <c r="G255" s="8">
        <v>-15</v>
      </c>
      <c r="H255" s="8">
        <v>-27</v>
      </c>
      <c r="I255" s="8">
        <v>-13</v>
      </c>
      <c r="J255" s="8">
        <v>-11</v>
      </c>
      <c r="K255" s="8">
        <v>-15</v>
      </c>
      <c r="L255" s="8">
        <v>-24</v>
      </c>
      <c r="M255" s="8">
        <v>-18</v>
      </c>
      <c r="N255" s="8">
        <v>-12</v>
      </c>
      <c r="O255" s="8">
        <v>-22</v>
      </c>
      <c r="P255" s="8">
        <v>-22</v>
      </c>
      <c r="Q255" s="8">
        <v>-15</v>
      </c>
      <c r="R255" s="8">
        <v>-14</v>
      </c>
      <c r="S255" s="8">
        <v>-1324</v>
      </c>
      <c r="T255" s="8">
        <v>-16</v>
      </c>
      <c r="U255" s="8">
        <v>-14.855624999999995</v>
      </c>
      <c r="V255" s="8">
        <v>-14.668028124999994</v>
      </c>
      <c r="W255" s="8">
        <v>-15.625</v>
      </c>
      <c r="X255" s="8">
        <v>-14.291666666666666</v>
      </c>
      <c r="Y255" s="8">
        <v>-13.958333333333334</v>
      </c>
      <c r="Z255" s="8">
        <v>-13.625</v>
      </c>
      <c r="AA255" s="8">
        <v>-18</v>
      </c>
      <c r="AB255" s="8">
        <v>-16</v>
      </c>
      <c r="AC255" s="8">
        <v>-15.5</v>
      </c>
    </row>
    <row r="256" spans="1:29" x14ac:dyDescent="0.2">
      <c r="A256" s="7" t="s">
        <v>455</v>
      </c>
      <c r="B256" s="3" t="s">
        <v>456</v>
      </c>
      <c r="C256" s="3" t="s">
        <v>457</v>
      </c>
      <c r="D256" s="3"/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-1304</v>
      </c>
      <c r="V256" s="8">
        <v>-1304</v>
      </c>
      <c r="W256" s="8" t="s">
        <v>526</v>
      </c>
      <c r="X256" s="8" t="s">
        <v>526</v>
      </c>
      <c r="Y256" s="8" t="s">
        <v>526</v>
      </c>
      <c r="Z256" s="8" t="s">
        <v>526</v>
      </c>
      <c r="AA256" s="8" t="s">
        <v>526</v>
      </c>
      <c r="AB256" s="8" t="s">
        <v>526</v>
      </c>
      <c r="AC256" s="8" t="s">
        <v>526</v>
      </c>
    </row>
    <row r="257" spans="1:29" x14ac:dyDescent="0.2">
      <c r="A257" s="7" t="s">
        <v>458</v>
      </c>
      <c r="B257" s="3" t="s">
        <v>459</v>
      </c>
      <c r="C257" s="3" t="s">
        <v>460</v>
      </c>
      <c r="D257" s="3"/>
      <c r="E257" s="8">
        <v>0</v>
      </c>
      <c r="F257" s="8">
        <v>0</v>
      </c>
      <c r="G257" s="8">
        <v>75</v>
      </c>
      <c r="H257" s="8">
        <v>35</v>
      </c>
      <c r="I257" s="8">
        <v>32</v>
      </c>
      <c r="J257" s="8">
        <v>224</v>
      </c>
      <c r="K257" s="8">
        <v>242</v>
      </c>
      <c r="L257" s="8">
        <v>240</v>
      </c>
      <c r="M257" s="8">
        <v>152</v>
      </c>
      <c r="N257" s="8">
        <v>299</v>
      </c>
      <c r="O257" s="8">
        <v>204</v>
      </c>
      <c r="P257" s="8">
        <v>92</v>
      </c>
      <c r="Q257" s="8">
        <v>39</v>
      </c>
      <c r="R257" s="8">
        <v>37</v>
      </c>
      <c r="S257" s="8">
        <v>64</v>
      </c>
      <c r="T257" s="8">
        <v>64</v>
      </c>
      <c r="U257" s="8">
        <v>71.89915902235991</v>
      </c>
      <c r="V257" s="8">
        <v>72.965145723264811</v>
      </c>
      <c r="W257" s="8">
        <v>70.774709994805903</v>
      </c>
      <c r="X257" s="8">
        <v>76.247537528035352</v>
      </c>
      <c r="Y257" s="8">
        <v>75.206071611929403</v>
      </c>
      <c r="Z257" s="8">
        <v>72.130401377501315</v>
      </c>
      <c r="AA257" s="8">
        <v>65.524676607577007</v>
      </c>
      <c r="AB257" s="8">
        <v>74.155220139728542</v>
      </c>
      <c r="AC257" s="8">
        <v>72.525968292523117</v>
      </c>
    </row>
    <row r="258" spans="1:29" x14ac:dyDescent="0.2">
      <c r="A258" s="7" t="s">
        <v>461</v>
      </c>
      <c r="B258" s="3" t="s">
        <v>462</v>
      </c>
      <c r="C258" s="3" t="s">
        <v>463</v>
      </c>
      <c r="D258" s="3"/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-58</v>
      </c>
      <c r="R258" s="8">
        <v>-381</v>
      </c>
      <c r="S258" s="8">
        <v>-306</v>
      </c>
      <c r="T258" s="8">
        <v>-232</v>
      </c>
      <c r="U258" s="8">
        <v>-381.3094873326632</v>
      </c>
      <c r="V258" s="8">
        <v>-399.33671030429758</v>
      </c>
      <c r="W258" s="8">
        <v>-534.40202454608743</v>
      </c>
      <c r="X258" s="8">
        <v>-563.28819982736638</v>
      </c>
      <c r="Y258" s="8">
        <v>-592.43809864206457</v>
      </c>
      <c r="Z258" s="8">
        <v>-610.79266655100207</v>
      </c>
      <c r="AA258" s="8">
        <v>-618.32208754052476</v>
      </c>
      <c r="AB258" s="8">
        <v>-655.89773441627017</v>
      </c>
      <c r="AC258" s="8">
        <v>-712.98277843182711</v>
      </c>
    </row>
    <row r="259" spans="1:29" x14ac:dyDescent="0.2">
      <c r="A259" s="7" t="s">
        <v>464</v>
      </c>
      <c r="B259" s="3" t="s">
        <v>465</v>
      </c>
      <c r="C259" s="3" t="s">
        <v>466</v>
      </c>
      <c r="D259" s="3"/>
      <c r="E259" s="8">
        <v>0</v>
      </c>
      <c r="F259" s="8">
        <v>0</v>
      </c>
      <c r="G259" s="8" t="s">
        <v>526</v>
      </c>
      <c r="H259" s="8">
        <v>0</v>
      </c>
      <c r="I259" s="8" t="s">
        <v>526</v>
      </c>
      <c r="J259" s="8" t="s">
        <v>526</v>
      </c>
      <c r="K259" s="8" t="s">
        <v>526</v>
      </c>
      <c r="L259" s="8">
        <v>0</v>
      </c>
      <c r="M259" s="8" t="s">
        <v>526</v>
      </c>
      <c r="N259" s="8" t="s">
        <v>526</v>
      </c>
      <c r="O259" s="8" t="s">
        <v>526</v>
      </c>
      <c r="P259" s="8" t="s">
        <v>526</v>
      </c>
      <c r="Q259" s="8">
        <v>0</v>
      </c>
      <c r="R259" s="8" t="s">
        <v>526</v>
      </c>
      <c r="S259" s="8" t="s">
        <v>526</v>
      </c>
      <c r="T259" s="8" t="s">
        <v>526</v>
      </c>
      <c r="U259" s="8" t="s">
        <v>526</v>
      </c>
      <c r="V259" s="8" t="s">
        <v>526</v>
      </c>
      <c r="W259" s="8" t="s">
        <v>526</v>
      </c>
      <c r="X259" s="8" t="s">
        <v>526</v>
      </c>
      <c r="Y259" s="8" t="s">
        <v>526</v>
      </c>
      <c r="Z259" s="8" t="s">
        <v>526</v>
      </c>
      <c r="AA259" s="8" t="s">
        <v>526</v>
      </c>
      <c r="AB259" s="8" t="s">
        <v>526</v>
      </c>
      <c r="AC259" s="8" t="s">
        <v>526</v>
      </c>
    </row>
    <row r="260" spans="1:29" x14ac:dyDescent="0.2">
      <c r="A260" s="7" t="s">
        <v>467</v>
      </c>
      <c r="B260" s="3" t="s">
        <v>468</v>
      </c>
      <c r="C260" s="3" t="s">
        <v>469</v>
      </c>
      <c r="D260" s="3"/>
      <c r="E260" s="8">
        <v>-10</v>
      </c>
      <c r="F260" s="8">
        <v>-9</v>
      </c>
      <c r="G260" s="8">
        <v>-11</v>
      </c>
      <c r="H260" s="8">
        <v>-16</v>
      </c>
      <c r="I260" s="8">
        <v>-20</v>
      </c>
      <c r="J260" s="8">
        <v>-19</v>
      </c>
      <c r="K260" s="8">
        <v>-25</v>
      </c>
      <c r="L260" s="8">
        <v>-32</v>
      </c>
      <c r="M260" s="8">
        <v>-35</v>
      </c>
      <c r="N260" s="8">
        <v>-43</v>
      </c>
      <c r="O260" s="8">
        <v>-56</v>
      </c>
      <c r="P260" s="8">
        <v>-59</v>
      </c>
      <c r="Q260" s="8">
        <v>-66</v>
      </c>
      <c r="R260" s="8">
        <v>-60</v>
      </c>
      <c r="S260" s="8">
        <v>-45</v>
      </c>
      <c r="T260" s="8">
        <v>-34</v>
      </c>
      <c r="U260" s="8">
        <v>-56</v>
      </c>
      <c r="V260" s="8">
        <v>-57</v>
      </c>
      <c r="W260" s="8">
        <v>-38</v>
      </c>
      <c r="X260" s="8">
        <v>-34.333333333333336</v>
      </c>
      <c r="Y260" s="8">
        <v>-45</v>
      </c>
      <c r="Z260" s="8">
        <v>-43</v>
      </c>
      <c r="AA260" s="8">
        <v>-39.5</v>
      </c>
      <c r="AB260" s="8">
        <v>-34</v>
      </c>
      <c r="AC260" s="8">
        <v>-50</v>
      </c>
    </row>
    <row r="261" spans="1:29" x14ac:dyDescent="0.2">
      <c r="A261" s="7" t="s">
        <v>470</v>
      </c>
      <c r="B261" s="3" t="s">
        <v>471</v>
      </c>
      <c r="C261" s="3" t="s">
        <v>472</v>
      </c>
      <c r="D261" s="3"/>
      <c r="E261" s="8">
        <v>-21</v>
      </c>
      <c r="F261" s="8">
        <v>-21</v>
      </c>
      <c r="G261" s="8">
        <v>49</v>
      </c>
      <c r="H261" s="8">
        <v>-8</v>
      </c>
      <c r="I261" s="8">
        <v>-1</v>
      </c>
      <c r="J261" s="8">
        <v>194</v>
      </c>
      <c r="K261" s="8">
        <v>202</v>
      </c>
      <c r="L261" s="8">
        <v>184</v>
      </c>
      <c r="M261" s="8">
        <v>99</v>
      </c>
      <c r="N261" s="8">
        <v>244</v>
      </c>
      <c r="O261" s="8">
        <v>126</v>
      </c>
      <c r="P261" s="8">
        <v>11</v>
      </c>
      <c r="Q261" s="8">
        <v>-100</v>
      </c>
      <c r="R261" s="8">
        <v>-418</v>
      </c>
      <c r="S261" s="8">
        <v>-1611</v>
      </c>
      <c r="T261" s="8">
        <v>-218</v>
      </c>
      <c r="U261" s="8">
        <v>-320.3386047174003</v>
      </c>
      <c r="V261" s="8">
        <v>-336.7083074436905</v>
      </c>
      <c r="W261" s="8">
        <v>-456.08449609459512</v>
      </c>
      <c r="X261" s="8">
        <v>-477.29835732780856</v>
      </c>
      <c r="Y261" s="8">
        <v>-507.25814581070051</v>
      </c>
      <c r="Z261" s="8">
        <v>-524.92265906940111</v>
      </c>
      <c r="AA261" s="8">
        <v>-490.75195521205256</v>
      </c>
      <c r="AB261" s="8">
        <v>-513.81129858707277</v>
      </c>
      <c r="AC261" s="8">
        <v>-567.63500316484044</v>
      </c>
    </row>
    <row r="262" spans="1:29" x14ac:dyDescent="0.2">
      <c r="A262" s="7" t="s">
        <v>14</v>
      </c>
      <c r="B262" s="3"/>
      <c r="C262" s="3"/>
      <c r="D262" s="3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">
      <c r="A263" s="7" t="s">
        <v>367</v>
      </c>
      <c r="B263" s="3"/>
      <c r="C263" s="3"/>
      <c r="D263" s="3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">
      <c r="A264" s="7" t="s">
        <v>473</v>
      </c>
      <c r="B264" s="3" t="s">
        <v>474</v>
      </c>
      <c r="C264" s="3" t="s">
        <v>475</v>
      </c>
      <c r="D264" s="3"/>
      <c r="E264" s="8">
        <v>155</v>
      </c>
      <c r="F264" s="8">
        <v>-176</v>
      </c>
      <c r="G264" s="8">
        <v>-26</v>
      </c>
      <c r="H264" s="8">
        <v>-11</v>
      </c>
      <c r="I264" s="8">
        <v>58</v>
      </c>
      <c r="J264" s="8">
        <v>-87</v>
      </c>
      <c r="K264" s="8">
        <v>38</v>
      </c>
      <c r="L264" s="8">
        <v>19</v>
      </c>
      <c r="M264" s="8">
        <v>-98</v>
      </c>
      <c r="N264" s="8">
        <v>164</v>
      </c>
      <c r="O264" s="8">
        <v>-113</v>
      </c>
      <c r="P264" s="8">
        <v>-174</v>
      </c>
      <c r="Q264" s="8">
        <v>4</v>
      </c>
      <c r="R264" s="8">
        <v>-7</v>
      </c>
      <c r="S264" s="8">
        <v>40</v>
      </c>
      <c r="T264" s="8">
        <v>23</v>
      </c>
      <c r="U264" s="8">
        <v>31.5</v>
      </c>
      <c r="V264" s="8">
        <v>31.5</v>
      </c>
      <c r="W264" s="8" t="s">
        <v>526</v>
      </c>
      <c r="X264" s="8" t="s">
        <v>526</v>
      </c>
      <c r="Y264" s="8" t="s">
        <v>526</v>
      </c>
      <c r="Z264" s="8" t="s">
        <v>526</v>
      </c>
      <c r="AA264" s="8" t="s">
        <v>526</v>
      </c>
      <c r="AB264" s="8" t="s">
        <v>526</v>
      </c>
      <c r="AC264" s="8" t="s">
        <v>526</v>
      </c>
    </row>
    <row r="265" spans="1:29" x14ac:dyDescent="0.2">
      <c r="A265" s="7" t="s">
        <v>476</v>
      </c>
      <c r="B265" s="3" t="s">
        <v>477</v>
      </c>
      <c r="C265" s="3" t="s">
        <v>478</v>
      </c>
      <c r="D265" s="3"/>
      <c r="E265" s="8">
        <v>-90</v>
      </c>
      <c r="F265" s="8">
        <v>-192</v>
      </c>
      <c r="G265" s="8">
        <v>-14</v>
      </c>
      <c r="H265" s="8">
        <v>118</v>
      </c>
      <c r="I265" s="8">
        <v>7</v>
      </c>
      <c r="J265" s="8">
        <v>586</v>
      </c>
      <c r="K265" s="8">
        <v>299</v>
      </c>
      <c r="L265" s="8">
        <v>584</v>
      </c>
      <c r="M265" s="8">
        <v>732</v>
      </c>
      <c r="N265" s="8">
        <v>-71</v>
      </c>
      <c r="O265" s="8">
        <v>351</v>
      </c>
      <c r="P265" s="8">
        <v>316</v>
      </c>
      <c r="Q265" s="8">
        <v>291</v>
      </c>
      <c r="R265" s="8">
        <v>-191</v>
      </c>
      <c r="S265" s="8">
        <v>-43</v>
      </c>
      <c r="T265" s="8">
        <v>660</v>
      </c>
      <c r="U265" s="8">
        <v>774.26991263382536</v>
      </c>
      <c r="V265" s="8">
        <v>551.24110651870876</v>
      </c>
      <c r="W265" s="8">
        <v>632.71395785634411</v>
      </c>
      <c r="X265" s="8">
        <v>479.8755868621634</v>
      </c>
      <c r="Y265" s="8">
        <v>502.61481179443251</v>
      </c>
      <c r="Z265" s="8">
        <v>613.03254327902687</v>
      </c>
      <c r="AA265" s="8">
        <v>831.42567001401619</v>
      </c>
      <c r="AB265" s="8">
        <v>675.91583810568363</v>
      </c>
      <c r="AC265" s="8">
        <v>446.85546028587748</v>
      </c>
    </row>
    <row r="266" spans="1:29" x14ac:dyDescent="0.2">
      <c r="A266" s="7" t="s">
        <v>479</v>
      </c>
      <c r="B266" s="3" t="s">
        <v>480</v>
      </c>
      <c r="C266" s="3" t="s">
        <v>481</v>
      </c>
      <c r="D266" s="3"/>
      <c r="E266" s="8">
        <v>65</v>
      </c>
      <c r="F266" s="8">
        <v>-368</v>
      </c>
      <c r="G266" s="8">
        <v>-40</v>
      </c>
      <c r="H266" s="8">
        <v>107</v>
      </c>
      <c r="I266" s="8">
        <v>65</v>
      </c>
      <c r="J266" s="8">
        <v>499</v>
      </c>
      <c r="K266" s="8">
        <v>337</v>
      </c>
      <c r="L266" s="8">
        <v>603</v>
      </c>
      <c r="M266" s="8">
        <v>634</v>
      </c>
      <c r="N266" s="8">
        <v>93</v>
      </c>
      <c r="O266" s="8">
        <v>238</v>
      </c>
      <c r="P266" s="8">
        <v>142</v>
      </c>
      <c r="Q266" s="8">
        <v>295</v>
      </c>
      <c r="R266" s="8">
        <v>-198</v>
      </c>
      <c r="S266" s="8">
        <v>-3</v>
      </c>
      <c r="T266" s="8">
        <v>683</v>
      </c>
      <c r="U266" s="8">
        <v>660.84262251573114</v>
      </c>
      <c r="V266" s="8">
        <v>412.36784228007878</v>
      </c>
      <c r="W266" s="8">
        <v>704.54147798190365</v>
      </c>
      <c r="X266" s="8">
        <v>756.93066331909756</v>
      </c>
      <c r="Y266" s="8">
        <v>764.82702794842544</v>
      </c>
      <c r="Z266" s="8">
        <v>509.6256804597333</v>
      </c>
      <c r="AA266" s="8">
        <v>981.41096956582828</v>
      </c>
      <c r="AB266" s="8">
        <v>955.83162922411634</v>
      </c>
      <c r="AC266" s="8">
        <v>989.32845663155263</v>
      </c>
    </row>
    <row r="267" spans="1:29" x14ac:dyDescent="0.2">
      <c r="A267" s="7" t="s">
        <v>482</v>
      </c>
      <c r="B267" s="3" t="s">
        <v>483</v>
      </c>
      <c r="C267" s="3" t="s">
        <v>484</v>
      </c>
      <c r="D267" s="3"/>
      <c r="E267" s="8">
        <v>2786</v>
      </c>
      <c r="F267" s="8">
        <v>2851</v>
      </c>
      <c r="G267" s="8">
        <v>2483</v>
      </c>
      <c r="H267" s="8">
        <v>2443</v>
      </c>
      <c r="I267" s="8">
        <v>2550</v>
      </c>
      <c r="J267" s="8">
        <v>2615</v>
      </c>
      <c r="K267" s="8">
        <v>3114</v>
      </c>
      <c r="L267" s="8">
        <v>3451</v>
      </c>
      <c r="M267" s="8">
        <v>4054</v>
      </c>
      <c r="N267" s="8">
        <v>4688</v>
      </c>
      <c r="O267" s="8">
        <v>4781</v>
      </c>
      <c r="P267" s="8">
        <v>5019</v>
      </c>
      <c r="Q267" s="8">
        <v>5161</v>
      </c>
      <c r="R267" s="8">
        <v>5456</v>
      </c>
      <c r="S267" s="8">
        <v>5258</v>
      </c>
      <c r="T267" s="8">
        <v>5255</v>
      </c>
      <c r="U267" s="8">
        <v>5937.8215843753223</v>
      </c>
      <c r="V267" s="8">
        <v>6679.3508854982347</v>
      </c>
      <c r="W267" s="8">
        <v>7155.6713938240537</v>
      </c>
      <c r="X267" s="8">
        <v>7799.7302887185942</v>
      </c>
      <c r="Y267" s="8">
        <v>8395.5209204539551</v>
      </c>
      <c r="Z267" s="8">
        <v>8996.189982149248</v>
      </c>
      <c r="AA267" s="8">
        <v>8657.1823974146464</v>
      </c>
      <c r="AB267" s="8">
        <v>9434.1123858060037</v>
      </c>
      <c r="AC267" s="8">
        <v>10133.432728947348</v>
      </c>
    </row>
    <row r="268" spans="1:29" x14ac:dyDescent="0.2">
      <c r="A268" s="7" t="s">
        <v>485</v>
      </c>
      <c r="B268" s="3" t="s">
        <v>269</v>
      </c>
      <c r="C268" s="3" t="s">
        <v>270</v>
      </c>
      <c r="D268" s="3"/>
      <c r="E268" s="8">
        <v>2851</v>
      </c>
      <c r="F268" s="8">
        <v>2483</v>
      </c>
      <c r="G268" s="8">
        <v>2443</v>
      </c>
      <c r="H268" s="8">
        <v>2550</v>
      </c>
      <c r="I268" s="8">
        <v>2618</v>
      </c>
      <c r="J268" s="8">
        <v>3114</v>
      </c>
      <c r="K268" s="8">
        <v>3451</v>
      </c>
      <c r="L268" s="8">
        <v>4054</v>
      </c>
      <c r="M268" s="8">
        <v>4688</v>
      </c>
      <c r="N268" s="8">
        <v>4781</v>
      </c>
      <c r="O268" s="8">
        <v>5019</v>
      </c>
      <c r="P268" s="8">
        <v>5161</v>
      </c>
      <c r="Q268" s="8">
        <v>5456</v>
      </c>
      <c r="R268" s="8">
        <v>5258</v>
      </c>
      <c r="S268" s="8">
        <v>5255</v>
      </c>
      <c r="T268" s="8">
        <v>5938</v>
      </c>
      <c r="U268" s="8">
        <v>6674.8635611775744</v>
      </c>
      <c r="V268" s="8">
        <v>7163.1075408106126</v>
      </c>
      <c r="W268" s="8">
        <v>7822.842077207506</v>
      </c>
      <c r="X268" s="8">
        <v>8431.337951051355</v>
      </c>
      <c r="Y268" s="8">
        <v>9047.6748223051218</v>
      </c>
      <c r="Z268" s="8">
        <v>9635.5805490467319</v>
      </c>
      <c r="AA268" s="8">
        <v>9434.1123858060037</v>
      </c>
      <c r="AB268" s="8">
        <v>10133.432728947348</v>
      </c>
      <c r="AC268" s="8">
        <v>10748.940121911961</v>
      </c>
    </row>
    <row r="269" spans="1:29" x14ac:dyDescent="0.2">
      <c r="A269" s="7" t="s">
        <v>486</v>
      </c>
      <c r="B269" s="3"/>
      <c r="C269" s="3"/>
      <c r="D269" s="3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">
      <c r="A270" s="7" t="s">
        <v>487</v>
      </c>
      <c r="B270" s="3" t="s">
        <v>488</v>
      </c>
      <c r="C270" s="3" t="s">
        <v>489</v>
      </c>
      <c r="D270" s="3"/>
      <c r="E270" s="8">
        <v>4</v>
      </c>
      <c r="F270" s="8">
        <v>18</v>
      </c>
      <c r="G270" s="8">
        <v>-9</v>
      </c>
      <c r="H270" s="8">
        <v>34</v>
      </c>
      <c r="I270" s="8">
        <v>7</v>
      </c>
      <c r="J270" s="8">
        <v>11</v>
      </c>
      <c r="K270" s="8">
        <v>5</v>
      </c>
      <c r="L270" s="8">
        <v>23</v>
      </c>
      <c r="M270" s="8">
        <v>15</v>
      </c>
      <c r="N270" s="8">
        <v>10</v>
      </c>
      <c r="O270" s="8">
        <v>19</v>
      </c>
      <c r="P270" s="8">
        <v>58</v>
      </c>
      <c r="Q270" s="8">
        <v>5</v>
      </c>
      <c r="R270" s="8">
        <v>4</v>
      </c>
      <c r="S270" s="8">
        <v>36</v>
      </c>
      <c r="T270" s="8">
        <v>85</v>
      </c>
      <c r="U270" s="8">
        <v>62.148603616210323</v>
      </c>
      <c r="V270" s="8">
        <v>72.70105880399592</v>
      </c>
      <c r="W270" s="8">
        <v>169.33249962922451</v>
      </c>
      <c r="X270" s="8">
        <v>167.11986924996475</v>
      </c>
      <c r="Y270" s="8">
        <v>198.87360266847372</v>
      </c>
      <c r="Z270" s="8">
        <v>221.69437238080579</v>
      </c>
      <c r="AA270" s="8">
        <v>253.62355268835734</v>
      </c>
      <c r="AB270" s="8">
        <v>252.38770042674085</v>
      </c>
      <c r="AC270" s="8">
        <v>263.99122392781652</v>
      </c>
    </row>
    <row r="271" spans="1:29" x14ac:dyDescent="0.2">
      <c r="A271" s="7" t="s">
        <v>490</v>
      </c>
      <c r="B271" s="3" t="s">
        <v>52</v>
      </c>
      <c r="C271" s="3" t="s">
        <v>53</v>
      </c>
      <c r="D271" s="3"/>
      <c r="E271" s="8">
        <v>35</v>
      </c>
      <c r="F271" s="8">
        <v>-73</v>
      </c>
      <c r="G271" s="8">
        <v>57</v>
      </c>
      <c r="H271" s="8">
        <v>9</v>
      </c>
      <c r="I271" s="8">
        <v>216</v>
      </c>
      <c r="J271" s="8">
        <v>396</v>
      </c>
      <c r="K271" s="8">
        <v>207</v>
      </c>
      <c r="L271" s="8">
        <v>490</v>
      </c>
      <c r="M271" s="8">
        <v>711</v>
      </c>
      <c r="N271" s="8">
        <v>877</v>
      </c>
      <c r="O271" s="8">
        <v>534</v>
      </c>
      <c r="P271" s="8">
        <v>700</v>
      </c>
      <c r="Q271" s="8">
        <v>806</v>
      </c>
      <c r="R271" s="8">
        <v>834</v>
      </c>
      <c r="S271" s="8">
        <v>824</v>
      </c>
      <c r="T271" s="8">
        <v>797</v>
      </c>
      <c r="U271" s="8">
        <v>864.11023609656206</v>
      </c>
      <c r="V271" s="8">
        <v>902.27278399954002</v>
      </c>
      <c r="W271" s="8">
        <v>910.28103971882706</v>
      </c>
      <c r="X271" s="8">
        <v>930.42276214511003</v>
      </c>
      <c r="Y271" s="8">
        <v>1027.2687984147399</v>
      </c>
      <c r="Z271" s="8">
        <v>1106.6544098806901</v>
      </c>
      <c r="AA271" s="8">
        <v>1058.2731425994</v>
      </c>
      <c r="AB271" s="8">
        <v>1128.2278495186999</v>
      </c>
      <c r="AC271" s="8">
        <v>1246.5548650984999</v>
      </c>
    </row>
    <row r="272" spans="1:29" x14ac:dyDescent="0.2">
      <c r="A272" s="7" t="s">
        <v>491</v>
      </c>
      <c r="B272" s="3" t="s">
        <v>492</v>
      </c>
      <c r="C272" s="3" t="s">
        <v>493</v>
      </c>
      <c r="D272" s="3"/>
      <c r="E272" s="8">
        <v>0.17858160225597342</v>
      </c>
      <c r="F272" s="8">
        <v>-0.38814204522880558</v>
      </c>
      <c r="G272" s="8">
        <v>0.29447858541910882</v>
      </c>
      <c r="H272" s="8">
        <v>5.6578504052831401E-2</v>
      </c>
      <c r="I272" s="8">
        <v>1.0605398090055678</v>
      </c>
      <c r="J272" s="8">
        <v>2.0200363116830329</v>
      </c>
      <c r="K272" s="8">
        <v>1.0109286143408085</v>
      </c>
      <c r="L272" s="8">
        <v>2.377257685869373</v>
      </c>
      <c r="M272" s="8">
        <v>3.4281663966009255</v>
      </c>
      <c r="N272" s="8">
        <v>4.2007055989305524</v>
      </c>
      <c r="O272" s="8">
        <v>2.5351559300212871</v>
      </c>
      <c r="P272" s="8">
        <v>3.4026686044320784</v>
      </c>
      <c r="Q272" s="8">
        <v>3.7747368927698983</v>
      </c>
      <c r="R272" s="8">
        <v>3.9248292974558381</v>
      </c>
      <c r="S272" s="8">
        <v>3.9707483616876225</v>
      </c>
      <c r="T272" s="8">
        <v>3.9500433185689969</v>
      </c>
      <c r="U272" s="8">
        <v>3.9741344483291843</v>
      </c>
      <c r="V272" s="8">
        <v>4.292682784713711</v>
      </c>
      <c r="W272" s="8">
        <v>4.4097124905050853</v>
      </c>
      <c r="X272" s="8">
        <v>4.5426595993356589</v>
      </c>
      <c r="Y272" s="8">
        <v>4.7412057494546875</v>
      </c>
      <c r="Z272" s="8">
        <v>4.9488067047742561</v>
      </c>
      <c r="AA272" s="8">
        <v>5.0794265623228068</v>
      </c>
      <c r="AB272" s="8">
        <v>5.4283682812291314</v>
      </c>
      <c r="AC272" s="8">
        <v>5.9774413865126279</v>
      </c>
    </row>
    <row r="273" spans="1:29" x14ac:dyDescent="0.2">
      <c r="A273" s="7" t="s">
        <v>494</v>
      </c>
      <c r="B273" s="3" t="s">
        <v>495</v>
      </c>
      <c r="C273" s="3" t="s">
        <v>496</v>
      </c>
      <c r="D273" s="3"/>
      <c r="E273" s="8">
        <v>1.1528326745718049</v>
      </c>
      <c r="F273" s="8">
        <v>-2.3689197725837019</v>
      </c>
      <c r="G273" s="8">
        <v>1.873767258382643</v>
      </c>
      <c r="H273" s="8">
        <v>0.34623858986465217</v>
      </c>
      <c r="I273" s="8">
        <v>6.2555853440571942</v>
      </c>
      <c r="J273" s="8">
        <v>10.78725143012803</v>
      </c>
      <c r="K273" s="8">
        <v>5.6655665566556657</v>
      </c>
      <c r="L273" s="8">
        <v>12.871027055424218</v>
      </c>
      <c r="M273" s="8">
        <v>17.828485456369108</v>
      </c>
      <c r="N273" s="8">
        <v>20.697784064120697</v>
      </c>
      <c r="O273" s="8">
        <v>12.720763723150357</v>
      </c>
      <c r="P273" s="8">
        <v>16.670641545432865</v>
      </c>
      <c r="Q273" s="8">
        <v>18.890449438202246</v>
      </c>
      <c r="R273" s="8">
        <v>18.406532774222025</v>
      </c>
      <c r="S273" s="8">
        <v>18.332230311052282</v>
      </c>
      <c r="T273" s="8">
        <v>17.270253297048356</v>
      </c>
      <c r="U273" s="8">
        <v>16.527907906334832</v>
      </c>
      <c r="V273" s="8">
        <v>17.865188136344045</v>
      </c>
      <c r="W273" s="8">
        <v>29.403284887225482</v>
      </c>
      <c r="X273" s="8">
        <v>28.251463842167468</v>
      </c>
      <c r="Y273" s="8">
        <v>33.473916005104897</v>
      </c>
      <c r="Z273" s="8">
        <v>20.368549486195754</v>
      </c>
      <c r="AA273" s="8">
        <v>17.161446492187135</v>
      </c>
      <c r="AB273" s="8">
        <v>17.949517750156133</v>
      </c>
      <c r="AC273" s="8">
        <v>19.542422864162258</v>
      </c>
    </row>
    <row r="274" spans="1:29" x14ac:dyDescent="0.2">
      <c r="A274" s="7" t="s">
        <v>497</v>
      </c>
      <c r="B274" s="3" t="s">
        <v>498</v>
      </c>
      <c r="C274" s="3" t="s">
        <v>499</v>
      </c>
      <c r="D274" s="3"/>
      <c r="E274" s="8">
        <v>0.20717087382198884</v>
      </c>
      <c r="F274" s="8">
        <v>-0.36226590888021853</v>
      </c>
      <c r="G274" s="8">
        <v>0.30481116736363889</v>
      </c>
      <c r="H274" s="8">
        <v>6.6865504789709831E-2</v>
      </c>
      <c r="I274" s="8">
        <v>1.082707997198896</v>
      </c>
      <c r="J274" s="8">
        <v>2.0251374134802123</v>
      </c>
      <c r="K274" s="8">
        <v>1.0655195764326382</v>
      </c>
      <c r="L274" s="8">
        <v>2.4605022869368551</v>
      </c>
      <c r="M274" s="8">
        <v>3.5470568536361511</v>
      </c>
      <c r="N274" s="8">
        <v>4.3566654122361586</v>
      </c>
      <c r="O274" s="8">
        <v>2.6361102589943117</v>
      </c>
      <c r="P274" s="8">
        <v>3.4513476974854704</v>
      </c>
      <c r="Q274" s="8">
        <v>4.0298205947176218</v>
      </c>
      <c r="R274" s="8">
        <v>4.1599443795997457</v>
      </c>
      <c r="S274" s="8">
        <v>4.0638381727529156</v>
      </c>
      <c r="T274" s="8">
        <v>4.1061627034364907</v>
      </c>
      <c r="U274" s="8">
        <v>4.3298654385268271</v>
      </c>
      <c r="V274" s="8">
        <v>4.8990603129244503</v>
      </c>
      <c r="W274" s="8">
        <v>5.2039479321950974</v>
      </c>
      <c r="X274" s="8">
        <v>4.6388592927390517</v>
      </c>
      <c r="Y274" s="8">
        <v>5.0035235663193909</v>
      </c>
      <c r="Z274" s="8">
        <v>5.6598125830308925</v>
      </c>
      <c r="AA274" s="8">
        <v>5.0582314487938822</v>
      </c>
      <c r="AB274" s="8">
        <v>4.5864504705163078</v>
      </c>
      <c r="AC274" s="8">
        <v>6.451777072352483</v>
      </c>
    </row>
    <row r="275" spans="1:29" x14ac:dyDescent="0.2">
      <c r="A275" s="7" t="s">
        <v>14</v>
      </c>
      <c r="B275" s="3"/>
      <c r="C275" s="3"/>
      <c r="D275" s="3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">
      <c r="A276" s="4" t="s">
        <v>500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Rex Sebastin, Joel</cp:lastModifiedBy>
  <dcterms:created xsi:type="dcterms:W3CDTF">2013-04-03T15:49:21Z</dcterms:created>
  <dcterms:modified xsi:type="dcterms:W3CDTF">2026-09-27T05:03:31Z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